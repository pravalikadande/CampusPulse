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B1D0EC283A6AD/Documents/"/>
    </mc:Choice>
  </mc:AlternateContent>
  <xr:revisionPtr revIDLastSave="0" documentId="8_{984238CD-5A32-4BD0-8B4D-67757040B891}" xr6:coauthVersionLast="47" xr6:coauthVersionMax="47" xr10:uidLastSave="{00000000-0000-0000-0000-000000000000}"/>
  <bookViews>
    <workbookView xWindow="-108" yWindow="-108" windowWidth="23256" windowHeight="12456" xr2:uid="{55555F0A-AF87-4A80-A00E-E74A8C870DF8}"/>
  </bookViews>
  <sheets>
    <sheet name="Sheet5" sheetId="5" r:id="rId1"/>
    <sheet name="Sheet1" sheetId="1" r:id="rId2"/>
    <sheet name="Sheet2" sheetId="2" r:id="rId3"/>
    <sheet name="Sheet3" sheetId="3" r:id="rId4"/>
    <sheet name="Sheet4" sheetId="4" r:id="rId5"/>
  </sheets>
  <calcPr calcId="191029"/>
  <pivotCaches>
    <pivotCache cacheId="7" r:id="rId6"/>
    <pivotCache cacheId="36" r:id="rId7"/>
    <pivotCache cacheId="50" r:id="rId8"/>
    <pivotCache cacheId="6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</calcChain>
</file>

<file path=xl/sharedStrings.xml><?xml version="1.0" encoding="utf-8"?>
<sst xmlns="http://schemas.openxmlformats.org/spreadsheetml/2006/main" count="657" uniqueCount="79">
  <si>
    <t>Date</t>
  </si>
  <si>
    <t>Day</t>
  </si>
  <si>
    <t>Time</t>
  </si>
  <si>
    <t>Students_Entry</t>
  </si>
  <si>
    <t>Students_Exit</t>
  </si>
  <si>
    <t>Books_Issued</t>
  </si>
  <si>
    <t>Books_Returned</t>
  </si>
  <si>
    <t>Wednesday</t>
  </si>
  <si>
    <t>Thursday</t>
  </si>
  <si>
    <t>Friday</t>
  </si>
  <si>
    <t>Saturday</t>
  </si>
  <si>
    <t>Lab</t>
  </si>
  <si>
    <t>Total_Systems</t>
  </si>
  <si>
    <t>Used_Systems</t>
  </si>
  <si>
    <t>Students_Present</t>
  </si>
  <si>
    <t>Avg_Usage_Min</t>
  </si>
  <si>
    <t>AI_Lab</t>
  </si>
  <si>
    <t>Data_Lab</t>
  </si>
  <si>
    <t>Cloud_Lab</t>
  </si>
  <si>
    <t>Programming_Lab</t>
  </si>
  <si>
    <t>Food_Category</t>
  </si>
  <si>
    <t>Item</t>
  </si>
  <si>
    <t>Quantity_Sold</t>
  </si>
  <si>
    <t>Customers</t>
  </si>
  <si>
    <t>Revenue</t>
  </si>
  <si>
    <t>Breakfast</t>
  </si>
  <si>
    <t>Idli</t>
  </si>
  <si>
    <t>Snacks</t>
  </si>
  <si>
    <t>Samosa</t>
  </si>
  <si>
    <t>Beverage</t>
  </si>
  <si>
    <t>Tea</t>
  </si>
  <si>
    <t>Lunch</t>
  </si>
  <si>
    <t>Veg_Meals</t>
  </si>
  <si>
    <t>Chicken_Biryani</t>
  </si>
  <si>
    <t>Cold_Drink</t>
  </si>
  <si>
    <t>Puffs</t>
  </si>
  <si>
    <t>Coffee</t>
  </si>
  <si>
    <t>Noodles</t>
  </si>
  <si>
    <t>Dosa</t>
  </si>
  <si>
    <t>Vada</t>
  </si>
  <si>
    <t>Route</t>
  </si>
  <si>
    <t>Stop</t>
  </si>
  <si>
    <t>Bus_Capacity</t>
  </si>
  <si>
    <t>Students_Boarded</t>
  </si>
  <si>
    <t>Students_Dropped</t>
  </si>
  <si>
    <t>Distance_KM</t>
  </si>
  <si>
    <t>Route_1</t>
  </si>
  <si>
    <t>Main_Gate</t>
  </si>
  <si>
    <t>Railway_Station</t>
  </si>
  <si>
    <t>Market</t>
  </si>
  <si>
    <t>Colony</t>
  </si>
  <si>
    <t>College_Gate</t>
  </si>
  <si>
    <t>Route_2</t>
  </si>
  <si>
    <t>Bus_Stand</t>
  </si>
  <si>
    <t>Hospital</t>
  </si>
  <si>
    <t>Village_Center</t>
  </si>
  <si>
    <t>Route_3</t>
  </si>
  <si>
    <t>Temple</t>
  </si>
  <si>
    <t>Highway_Stop</t>
  </si>
  <si>
    <t>Library_Activity</t>
  </si>
  <si>
    <t>Net_Student_Change</t>
  </si>
  <si>
    <t>Utilization_%</t>
  </si>
  <si>
    <t>Revenue_Per_Customer</t>
  </si>
  <si>
    <t>Boarding_Utilization_%</t>
  </si>
  <si>
    <t>Row Labels</t>
  </si>
  <si>
    <t>Grand Total</t>
  </si>
  <si>
    <t>Sum of Library_Activity</t>
  </si>
  <si>
    <t>Sum of Books_Issued</t>
  </si>
  <si>
    <t>Sum of Books_Returned</t>
  </si>
  <si>
    <t>Sum of Students_Present</t>
  </si>
  <si>
    <t>Average of Students_Present</t>
  </si>
  <si>
    <t>Sum of Used_Systems</t>
  </si>
  <si>
    <t>Sum of Quantity_Sold</t>
  </si>
  <si>
    <t>Sum of Revenue</t>
  </si>
  <si>
    <t>Sum of Customers</t>
  </si>
  <si>
    <t>Average of Revenue_Per_Customer</t>
  </si>
  <si>
    <t>Sum of Students_Boarded</t>
  </si>
  <si>
    <t>Average of Boarding_Utilization_%</t>
  </si>
  <si>
    <t>Average of Utilization_%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</si>
</sst>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0" fontId="0" fillId="0" borderId="0" xfId="0" applyNumberFormat="1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5" formatCode="hh:mm"/>
    </dxf>
    <dxf>
      <numFmt numFmtId="19" formatCode="dd/mm/yyyy"/>
    </dxf>
    <dxf>
      <numFmt numFmtId="2" formatCode="0.00"/>
    </dxf>
    <dxf>
      <numFmt numFmtId="25" formatCode="hh:m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5" formatCode="hh:mm"/>
    </dxf>
    <dxf>
      <numFmt numFmtId="19" formatCode="dd/mm/yyyy"/>
    </dxf>
    <dxf>
      <numFmt numFmtId="0" formatCode="General"/>
    </dxf>
    <dxf>
      <numFmt numFmtId="0" formatCode="General"/>
    </dxf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[CampusPulse.xlsx]Sheet5!PivotTable1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Wednesday</c:v>
                </c:pt>
                <c:pt idx="1">
                  <c:v>Thursday</c:v>
                </c:pt>
                <c:pt idx="2">
                  <c:v>Friday</c:v>
                </c:pt>
                <c:pt idx="3">
                  <c:v>Saturday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708</c:v>
                </c:pt>
                <c:pt idx="1">
                  <c:v>684</c:v>
                </c:pt>
                <c:pt idx="2">
                  <c:v>759</c:v>
                </c:pt>
                <c:pt idx="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7-44AE-8537-F3D71ED4A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087600"/>
        <c:axId val="1501772912"/>
      </c:barChart>
      <c:catAx>
        <c:axId val="14980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72912"/>
        <c:crosses val="autoZero"/>
        <c:auto val="1"/>
        <c:lblAlgn val="ctr"/>
        <c:lblOffset val="100"/>
        <c:noMultiLvlLbl val="0"/>
      </c:catAx>
      <c:valAx>
        <c:axId val="150177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8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1289491</xdr:colOff>
      <xdr:row>4</xdr:row>
      <xdr:rowOff>10186</xdr:rowOff>
    </xdr:from>
    <xdr:to>
      <xdr:col>27</xdr:col>
      <xdr:colOff>332015</xdr:colOff>
      <xdr:row>19</xdr:row>
      <xdr:rowOff>10186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13CD6-56C4-69EC-DA9F-8C04739D0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alika Dande" refreshedDate="46293.772776504629" createdVersion="8" refreshedVersion="8" minRefreshableVersion="3" recordCount="40" xr:uid="{D29B7632-73D5-4861-AFE6-9166488EC5C7}">
  <cacheSource type="worksheet">
    <worksheetSource name="Library_Data"/>
  </cacheSource>
  <cacheFields count="10">
    <cacheField name="Date" numFmtId="14">
      <sharedItems containsSemiMixedTypes="0" containsNonDate="0" containsDate="1" containsString="0" minDate="2026-07-01T00:00:00" maxDate="2026-08-26T00:00:00"/>
    </cacheField>
    <cacheField name="Day" numFmtId="0">
      <sharedItems count="4">
        <s v="Wednesday"/>
        <s v="Thursday"/>
        <s v="Friday"/>
        <s v="Saturday"/>
      </sharedItems>
    </cacheField>
    <cacheField name="Time" numFmtId="20">
      <sharedItems containsSemiMixedTypes="0" containsNonDate="0" containsDate="1" containsString="0" minDate="1899-12-30T09:00:00" maxDate="1899-12-30T18:00:00" count="10"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</sharedItems>
      <fieldGroup par="9"/>
    </cacheField>
    <cacheField name="Students_Entry" numFmtId="0">
      <sharedItems containsSemiMixedTypes="0" containsString="0" containsNumber="1" containsInteger="1" minValue="18" maxValue="78"/>
    </cacheField>
    <cacheField name="Students_Exit" numFmtId="0">
      <sharedItems containsSemiMixedTypes="0" containsString="0" containsNumber="1" containsInteger="1" minValue="12" maxValue="58"/>
    </cacheField>
    <cacheField name="Books_Issued" numFmtId="0">
      <sharedItems containsSemiMixedTypes="0" containsString="0" containsNumber="1" containsInteger="1" minValue="7" maxValue="38"/>
    </cacheField>
    <cacheField name="Books_Returned" numFmtId="0">
      <sharedItems containsSemiMixedTypes="0" containsString="0" containsNumber="1" containsInteger="1" minValue="5" maxValue="27"/>
    </cacheField>
    <cacheField name="Library_Activity" numFmtId="0">
      <sharedItems containsSemiMixedTypes="0" containsString="0" containsNumber="1" containsInteger="1" minValue="25" maxValue="116"/>
    </cacheField>
    <cacheField name="Net_Student_Change" numFmtId="0">
      <sharedItems containsSemiMixedTypes="0" containsString="0" containsNumber="1" containsInteger="1" minValue="-5" maxValue="29"/>
    </cacheField>
    <cacheField name="Hours (Time)" numFmtId="0" databaseField="0">
      <fieldGroup base="2">
        <rangePr groupBy="hours" startDate="1899-12-30T09:00:00" endDate="1899-12-30T18:0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alika Dande" refreshedDate="46293.79111435185" createdVersion="8" refreshedVersion="8" minRefreshableVersion="3" recordCount="61" xr:uid="{090EEDE8-9E08-4200-B270-547573874C32}">
  <cacheSource type="worksheet">
    <worksheetSource name="tbl_labs"/>
  </cacheSource>
  <cacheFields count="10">
    <cacheField name="Date" numFmtId="14">
      <sharedItems containsSemiMixedTypes="0" containsNonDate="0" containsDate="1" containsString="0" minDate="2026-07-01T00:00:00" maxDate="2026-07-05T00:00:00"/>
    </cacheField>
    <cacheField name="Day" numFmtId="0">
      <sharedItems count="4">
        <s v="Wednesday"/>
        <s v="Thursday"/>
        <s v="Friday"/>
        <s v="Saturday"/>
      </sharedItems>
    </cacheField>
    <cacheField name="Time" numFmtId="20">
      <sharedItems containsSemiMixedTypes="0" containsNonDate="0" containsDate="1" containsString="0" minDate="1899-12-30T09:00:00" maxDate="1899-12-30T18:00:00" count="10"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</sharedItems>
      <fieldGroup par="9"/>
    </cacheField>
    <cacheField name="Lab" numFmtId="0">
      <sharedItems count="4">
        <s v="AI_Lab"/>
        <s v="Data_Lab"/>
        <s v="Cloud_Lab"/>
        <s v="Programming_Lab"/>
      </sharedItems>
    </cacheField>
    <cacheField name="Total_Systems" numFmtId="0">
      <sharedItems containsSemiMixedTypes="0" containsString="0" containsNumber="1" containsInteger="1" minValue="40" maxValue="70"/>
    </cacheField>
    <cacheField name="Used_Systems" numFmtId="0">
      <sharedItems containsSemiMixedTypes="0" containsString="0" containsNumber="1" containsInteger="1" minValue="14" maxValue="65"/>
    </cacheField>
    <cacheField name="Students_Present" numFmtId="0">
      <sharedItems containsSemiMixedTypes="0" containsString="0" containsNumber="1" containsInteger="1" minValue="13" maxValue="61"/>
    </cacheField>
    <cacheField name="Avg_Usage_Min" numFmtId="0">
      <sharedItems containsSemiMixedTypes="0" containsString="0" containsNumber="1" containsInteger="1" minValue="31" maxValue="72"/>
    </cacheField>
    <cacheField name="Utilization_%" numFmtId="10">
      <sharedItems containsSemiMixedTypes="0" containsString="0" containsNumber="1" minValue="0.35" maxValue="0.95"/>
    </cacheField>
    <cacheField name="Hours (Time)" numFmtId="0" databaseField="0">
      <fieldGroup base="2">
        <rangePr groupBy="hours" startDate="1899-12-30T09:00:00" endDate="1899-12-30T18:0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alika Dande" refreshedDate="46293.796079861109" createdVersion="8" refreshedVersion="8" minRefreshableVersion="3" recordCount="40" xr:uid="{79072BDF-B00B-4D2E-997A-C642F359244F}">
  <cacheSource type="worksheet">
    <worksheetSource name="tbl_canteen"/>
  </cacheSource>
  <cacheFields count="10">
    <cacheField name="Date" numFmtId="14">
      <sharedItems containsSemiMixedTypes="0" containsNonDate="0" containsDate="1" containsString="0" minDate="2026-07-01T00:00:00" maxDate="2026-07-05T00:00:00"/>
    </cacheField>
    <cacheField name="Day" numFmtId="0">
      <sharedItems count="4">
        <s v="Wednesday"/>
        <s v="Thursday"/>
        <s v="Friday"/>
        <s v="Saturday"/>
      </sharedItems>
    </cacheField>
    <cacheField name="Time" numFmtId="20">
      <sharedItems containsSemiMixedTypes="0" containsNonDate="0" containsDate="1" containsString="0" minDate="1899-12-30T09:00:00" maxDate="1899-12-30T18:00:00" count="10"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</sharedItems>
      <fieldGroup par="9"/>
    </cacheField>
    <cacheField name="Food_Category" numFmtId="0">
      <sharedItems count="4">
        <s v="Breakfast"/>
        <s v="Snacks"/>
        <s v="Beverage"/>
        <s v="Lunch"/>
      </sharedItems>
    </cacheField>
    <cacheField name="Item" numFmtId="0">
      <sharedItems count="11">
        <s v="Idli"/>
        <s v="Samosa"/>
        <s v="Tea"/>
        <s v="Veg_Meals"/>
        <s v="Chicken_Biryani"/>
        <s v="Cold_Drink"/>
        <s v="Puffs"/>
        <s v="Coffee"/>
        <s v="Noodles"/>
        <s v="Dosa"/>
        <s v="Vada"/>
      </sharedItems>
    </cacheField>
    <cacheField name="Quantity_Sold" numFmtId="0">
      <sharedItems containsSemiMixedTypes="0" containsString="0" containsNumber="1" containsInteger="1" minValue="25" maxValue="91"/>
    </cacheField>
    <cacheField name="Customers" numFmtId="0">
      <sharedItems containsSemiMixedTypes="0" containsString="0" containsNumber="1" containsInteger="1" minValue="22" maxValue="84"/>
    </cacheField>
    <cacheField name="Revenue" numFmtId="0">
      <sharedItems containsSemiMixedTypes="0" containsString="0" containsNumber="1" containsInteger="1" minValue="870" maxValue="10920"/>
    </cacheField>
    <cacheField name="Revenue_Per_Customer" numFmtId="2">
      <sharedItems containsSemiMixedTypes="0" containsString="0" containsNumber="1" minValue="33.214285714285715" maxValue="130.34482758620689"/>
    </cacheField>
    <cacheField name="Hours (Time)" numFmtId="0" databaseField="0">
      <fieldGroup base="2">
        <rangePr groupBy="hours" startDate="1899-12-30T09:00:00" endDate="1899-12-30T18:0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alika Dande" refreshedDate="46293.801086574073" createdVersion="8" refreshedVersion="8" minRefreshableVersion="3" recordCount="55" xr:uid="{50FEFC7C-49C3-4698-8EA4-4F9596D3CE54}">
  <cacheSource type="worksheet">
    <worksheetSource name="tbl_transport"/>
  </cacheSource>
  <cacheFields count="10">
    <cacheField name="Date" numFmtId="14">
      <sharedItems containsSemiMixedTypes="0" containsNonDate="0" containsDate="1" containsString="0" minDate="2026-07-01T00:00:00" maxDate="2026-07-05T00:00:00"/>
    </cacheField>
    <cacheField name="Day" numFmtId="0">
      <sharedItems count="4">
        <s v="Wednesday"/>
        <s v="Thursday"/>
        <s v="Friday"/>
        <s v="Saturday"/>
      </sharedItems>
    </cacheField>
    <cacheField name="Time" numFmtId="20">
      <sharedItems containsSemiMixedTypes="0" containsNonDate="0" containsDate="1" containsString="0" minDate="1899-12-30T07:00:00" maxDate="1899-12-30T08:00:00"/>
    </cacheField>
    <cacheField name="Route" numFmtId="0">
      <sharedItems count="3">
        <s v="Route_1"/>
        <s v="Route_2"/>
        <s v="Route_3"/>
      </sharedItems>
    </cacheField>
    <cacheField name="Stop" numFmtId="0">
      <sharedItems count="10">
        <s v="Main_Gate"/>
        <s v="Railway_Station"/>
        <s v="Market"/>
        <s v="Colony"/>
        <s v="College_Gate"/>
        <s v="Bus_Stand"/>
        <s v="Hospital"/>
        <s v="Village_Center"/>
        <s v="Temple"/>
        <s v="Highway_Stop"/>
      </sharedItems>
    </cacheField>
    <cacheField name="Bus_Capacity" numFmtId="0">
      <sharedItems containsSemiMixedTypes="0" containsString="0" containsNumber="1" containsInteger="1" minValue="45" maxValue="55"/>
    </cacheField>
    <cacheField name="Students_Boarded" numFmtId="0">
      <sharedItems containsSemiMixedTypes="0" containsString="0" containsNumber="1" containsInteger="1" minValue="2" maxValue="53"/>
    </cacheField>
    <cacheField name="Students_Dropped" numFmtId="0">
      <sharedItems containsSemiMixedTypes="0" containsString="0" containsNumber="1" containsInteger="1" minValue="0" maxValue="49"/>
    </cacheField>
    <cacheField name="Distance_KM" numFmtId="0">
      <sharedItems containsSemiMixedTypes="0" containsString="0" containsNumber="1" containsInteger="1" minValue="7" maxValue="21"/>
    </cacheField>
    <cacheField name="Boarding_Utilization_%" numFmtId="10">
      <sharedItems containsSemiMixedTypes="0" containsString="0" containsNumber="1" minValue="3.6363636363636362E-2" maxValue="0.96363636363636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6-07-01T00:00:00"/>
    <x v="0"/>
    <x v="0"/>
    <n v="32"/>
    <n v="18"/>
    <n v="14"/>
    <n v="7"/>
    <n v="46"/>
    <n v="14"/>
  </r>
  <r>
    <d v="2026-07-02T00:00:00"/>
    <x v="0"/>
    <x v="1"/>
    <n v="45"/>
    <n v="21"/>
    <n v="19"/>
    <n v="11"/>
    <n v="64"/>
    <n v="24"/>
  </r>
  <r>
    <d v="2026-07-03T00:00:00"/>
    <x v="0"/>
    <x v="2"/>
    <n v="51"/>
    <n v="26"/>
    <n v="22"/>
    <n v="13"/>
    <n v="73"/>
    <n v="25"/>
  </r>
  <r>
    <d v="2026-07-06T00:00:00"/>
    <x v="0"/>
    <x v="3"/>
    <n v="38"/>
    <n v="31"/>
    <n v="16"/>
    <n v="9"/>
    <n v="54"/>
    <n v="7"/>
  </r>
  <r>
    <d v="2026-07-07T00:00:00"/>
    <x v="0"/>
    <x v="4"/>
    <n v="24"/>
    <n v="29"/>
    <n v="10"/>
    <n v="8"/>
    <n v="34"/>
    <n v="-5"/>
  </r>
  <r>
    <d v="2026-07-08T00:00:00"/>
    <x v="0"/>
    <x v="5"/>
    <n v="42"/>
    <n v="25"/>
    <n v="18"/>
    <n v="12"/>
    <n v="60"/>
    <n v="17"/>
  </r>
  <r>
    <d v="2026-07-09T00:00:00"/>
    <x v="0"/>
    <x v="6"/>
    <n v="56"/>
    <n v="34"/>
    <n v="25"/>
    <n v="15"/>
    <n v="81"/>
    <n v="22"/>
  </r>
  <r>
    <d v="2026-07-10T00:00:00"/>
    <x v="0"/>
    <x v="7"/>
    <n v="63"/>
    <n v="41"/>
    <n v="29"/>
    <n v="18"/>
    <n v="92"/>
    <n v="22"/>
  </r>
  <r>
    <d v="2026-07-13T00:00:00"/>
    <x v="0"/>
    <x v="8"/>
    <n v="71"/>
    <n v="48"/>
    <n v="34"/>
    <n v="21"/>
    <n v="105"/>
    <n v="23"/>
  </r>
  <r>
    <d v="2026-07-14T00:00:00"/>
    <x v="0"/>
    <x v="9"/>
    <n v="68"/>
    <n v="55"/>
    <n v="31"/>
    <n v="24"/>
    <n v="99"/>
    <n v="13"/>
  </r>
  <r>
    <d v="2026-07-15T00:00:00"/>
    <x v="1"/>
    <x v="0"/>
    <n v="29"/>
    <n v="16"/>
    <n v="12"/>
    <n v="6"/>
    <n v="41"/>
    <n v="13"/>
  </r>
  <r>
    <d v="2026-07-16T00:00:00"/>
    <x v="1"/>
    <x v="1"/>
    <n v="43"/>
    <n v="20"/>
    <n v="18"/>
    <n v="10"/>
    <n v="61"/>
    <n v="23"/>
  </r>
  <r>
    <d v="2026-07-17T00:00:00"/>
    <x v="1"/>
    <x v="2"/>
    <n v="48"/>
    <n v="24"/>
    <n v="21"/>
    <n v="12"/>
    <n v="69"/>
    <n v="24"/>
  </r>
  <r>
    <d v="2026-07-20T00:00:00"/>
    <x v="1"/>
    <x v="3"/>
    <n v="35"/>
    <n v="28"/>
    <n v="14"/>
    <n v="8"/>
    <n v="49"/>
    <n v="7"/>
  </r>
  <r>
    <d v="2026-07-21T00:00:00"/>
    <x v="1"/>
    <x v="4"/>
    <n v="22"/>
    <n v="26"/>
    <n v="9"/>
    <n v="7"/>
    <n v="31"/>
    <n v="-4"/>
  </r>
  <r>
    <d v="2026-07-22T00:00:00"/>
    <x v="1"/>
    <x v="5"/>
    <n v="39"/>
    <n v="23"/>
    <n v="17"/>
    <n v="11"/>
    <n v="56"/>
    <n v="16"/>
  </r>
  <r>
    <d v="2026-07-23T00:00:00"/>
    <x v="1"/>
    <x v="6"/>
    <n v="52"/>
    <n v="32"/>
    <n v="23"/>
    <n v="14"/>
    <n v="75"/>
    <n v="20"/>
  </r>
  <r>
    <d v="2026-07-24T00:00:00"/>
    <x v="1"/>
    <x v="7"/>
    <n v="61"/>
    <n v="39"/>
    <n v="28"/>
    <n v="17"/>
    <n v="89"/>
    <n v="22"/>
  </r>
  <r>
    <d v="2026-07-27T00:00:00"/>
    <x v="1"/>
    <x v="8"/>
    <n v="74"/>
    <n v="45"/>
    <n v="36"/>
    <n v="22"/>
    <n v="110"/>
    <n v="29"/>
  </r>
  <r>
    <d v="2026-07-28T00:00:00"/>
    <x v="1"/>
    <x v="9"/>
    <n v="70"/>
    <n v="53"/>
    <n v="33"/>
    <n v="25"/>
    <n v="103"/>
    <n v="17"/>
  </r>
  <r>
    <d v="2026-07-29T00:00:00"/>
    <x v="2"/>
    <x v="0"/>
    <n v="35"/>
    <n v="19"/>
    <n v="15"/>
    <n v="8"/>
    <n v="50"/>
    <n v="16"/>
  </r>
  <r>
    <d v="2026-07-30T00:00:00"/>
    <x v="2"/>
    <x v="1"/>
    <n v="47"/>
    <n v="23"/>
    <n v="20"/>
    <n v="12"/>
    <n v="67"/>
    <n v="24"/>
  </r>
  <r>
    <d v="2026-07-31T00:00:00"/>
    <x v="2"/>
    <x v="2"/>
    <n v="55"/>
    <n v="29"/>
    <n v="24"/>
    <n v="14"/>
    <n v="79"/>
    <n v="26"/>
  </r>
  <r>
    <d v="2026-08-03T00:00:00"/>
    <x v="2"/>
    <x v="3"/>
    <n v="40"/>
    <n v="33"/>
    <n v="17"/>
    <n v="10"/>
    <n v="57"/>
    <n v="7"/>
  </r>
  <r>
    <d v="2026-08-04T00:00:00"/>
    <x v="2"/>
    <x v="4"/>
    <n v="26"/>
    <n v="30"/>
    <n v="11"/>
    <n v="8"/>
    <n v="37"/>
    <n v="-4"/>
  </r>
  <r>
    <d v="2026-08-05T00:00:00"/>
    <x v="2"/>
    <x v="5"/>
    <n v="44"/>
    <n v="27"/>
    <n v="19"/>
    <n v="13"/>
    <n v="63"/>
    <n v="17"/>
  </r>
  <r>
    <d v="2026-08-06T00:00:00"/>
    <x v="2"/>
    <x v="6"/>
    <n v="59"/>
    <n v="36"/>
    <n v="27"/>
    <n v="16"/>
    <n v="86"/>
    <n v="23"/>
  </r>
  <r>
    <d v="2026-08-07T00:00:00"/>
    <x v="2"/>
    <x v="7"/>
    <n v="66"/>
    <n v="43"/>
    <n v="30"/>
    <n v="19"/>
    <n v="96"/>
    <n v="23"/>
  </r>
  <r>
    <d v="2026-08-10T00:00:00"/>
    <x v="2"/>
    <x v="8"/>
    <n v="78"/>
    <n v="51"/>
    <n v="38"/>
    <n v="24"/>
    <n v="116"/>
    <n v="27"/>
  </r>
  <r>
    <d v="2026-08-11T00:00:00"/>
    <x v="2"/>
    <x v="9"/>
    <n v="73"/>
    <n v="58"/>
    <n v="35"/>
    <n v="27"/>
    <n v="108"/>
    <n v="15"/>
  </r>
  <r>
    <d v="2026-08-12T00:00:00"/>
    <x v="3"/>
    <x v="0"/>
    <n v="22"/>
    <n v="12"/>
    <n v="9"/>
    <n v="5"/>
    <n v="31"/>
    <n v="10"/>
  </r>
  <r>
    <d v="2026-08-13T00:00:00"/>
    <x v="3"/>
    <x v="1"/>
    <n v="31"/>
    <n v="15"/>
    <n v="13"/>
    <n v="7"/>
    <n v="44"/>
    <n v="16"/>
  </r>
  <r>
    <d v="2026-08-14T00:00:00"/>
    <x v="3"/>
    <x v="2"/>
    <n v="37"/>
    <n v="19"/>
    <n v="16"/>
    <n v="9"/>
    <n v="53"/>
    <n v="18"/>
  </r>
  <r>
    <d v="2026-08-17T00:00:00"/>
    <x v="3"/>
    <x v="3"/>
    <n v="29"/>
    <n v="23"/>
    <n v="12"/>
    <n v="7"/>
    <n v="41"/>
    <n v="6"/>
  </r>
  <r>
    <d v="2026-08-18T00:00:00"/>
    <x v="3"/>
    <x v="4"/>
    <n v="18"/>
    <n v="21"/>
    <n v="7"/>
    <n v="5"/>
    <n v="25"/>
    <n v="-3"/>
  </r>
  <r>
    <d v="2026-08-19T00:00:00"/>
    <x v="3"/>
    <x v="5"/>
    <n v="30"/>
    <n v="18"/>
    <n v="13"/>
    <n v="8"/>
    <n v="43"/>
    <n v="12"/>
  </r>
  <r>
    <d v="2026-08-20T00:00:00"/>
    <x v="3"/>
    <x v="6"/>
    <n v="41"/>
    <n v="25"/>
    <n v="18"/>
    <n v="10"/>
    <n v="59"/>
    <n v="16"/>
  </r>
  <r>
    <d v="2026-08-21T00:00:00"/>
    <x v="3"/>
    <x v="7"/>
    <n v="46"/>
    <n v="31"/>
    <n v="21"/>
    <n v="13"/>
    <n v="67"/>
    <n v="15"/>
  </r>
  <r>
    <d v="2026-08-24T00:00:00"/>
    <x v="3"/>
    <x v="8"/>
    <n v="53"/>
    <n v="37"/>
    <n v="25"/>
    <n v="16"/>
    <n v="78"/>
    <n v="16"/>
  </r>
  <r>
    <d v="2026-08-25T00:00:00"/>
    <x v="3"/>
    <x v="9"/>
    <n v="49"/>
    <n v="42"/>
    <n v="23"/>
    <n v="18"/>
    <n v="72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d v="2026-07-01T00:00:00"/>
    <x v="0"/>
    <x v="0"/>
    <x v="0"/>
    <n v="60"/>
    <n v="34"/>
    <n v="32"/>
    <n v="48"/>
    <n v="0.56666666666666665"/>
  </r>
  <r>
    <d v="2026-07-01T00:00:00"/>
    <x v="0"/>
    <x v="1"/>
    <x v="0"/>
    <n v="60"/>
    <n v="42"/>
    <n v="40"/>
    <n v="56"/>
    <n v="0.7"/>
  </r>
  <r>
    <d v="2026-07-01T00:00:00"/>
    <x v="0"/>
    <x v="2"/>
    <x v="0"/>
    <n v="60"/>
    <n v="51"/>
    <n v="48"/>
    <n v="63"/>
    <n v="0.85"/>
  </r>
  <r>
    <d v="2026-07-01T00:00:00"/>
    <x v="0"/>
    <x v="3"/>
    <x v="0"/>
    <n v="60"/>
    <n v="38"/>
    <n v="35"/>
    <n v="51"/>
    <n v="0.6333333333333333"/>
  </r>
  <r>
    <d v="2026-07-01T00:00:00"/>
    <x v="0"/>
    <x v="4"/>
    <x v="0"/>
    <n v="60"/>
    <n v="22"/>
    <n v="20"/>
    <n v="37"/>
    <n v="0.36666666666666664"/>
  </r>
  <r>
    <d v="2026-07-01T00:00:00"/>
    <x v="0"/>
    <x v="5"/>
    <x v="0"/>
    <n v="60"/>
    <n v="45"/>
    <n v="42"/>
    <n v="59"/>
    <n v="0.75"/>
  </r>
  <r>
    <d v="2026-07-01T00:00:00"/>
    <x v="0"/>
    <x v="6"/>
    <x v="0"/>
    <n v="60"/>
    <n v="53"/>
    <n v="49"/>
    <n v="67"/>
    <n v="0.8833333333333333"/>
  </r>
  <r>
    <d v="2026-07-01T00:00:00"/>
    <x v="0"/>
    <x v="7"/>
    <x v="0"/>
    <n v="60"/>
    <n v="57"/>
    <n v="54"/>
    <n v="71"/>
    <n v="0.95"/>
  </r>
  <r>
    <d v="2026-07-01T00:00:00"/>
    <x v="0"/>
    <x v="8"/>
    <x v="0"/>
    <n v="60"/>
    <n v="49"/>
    <n v="46"/>
    <n v="64"/>
    <n v="0.81666666666666665"/>
  </r>
  <r>
    <d v="2026-07-01T00:00:00"/>
    <x v="0"/>
    <x v="9"/>
    <x v="0"/>
    <n v="60"/>
    <n v="31"/>
    <n v="29"/>
    <n v="52"/>
    <n v="0.51666666666666672"/>
  </r>
  <r>
    <d v="2026-07-01T00:00:00"/>
    <x v="0"/>
    <x v="0"/>
    <x v="1"/>
    <n v="50"/>
    <n v="28"/>
    <n v="26"/>
    <n v="44"/>
    <n v="0.56000000000000005"/>
  </r>
  <r>
    <d v="2026-07-01T00:00:00"/>
    <x v="0"/>
    <x v="1"/>
    <x v="1"/>
    <n v="50"/>
    <n v="36"/>
    <n v="34"/>
    <n v="52"/>
    <n v="0.72"/>
  </r>
  <r>
    <d v="2026-07-01T00:00:00"/>
    <x v="0"/>
    <x v="2"/>
    <x v="1"/>
    <n v="50"/>
    <n v="44"/>
    <n v="41"/>
    <n v="61"/>
    <n v="0.88"/>
  </r>
  <r>
    <d v="2026-07-01T00:00:00"/>
    <x v="0"/>
    <x v="3"/>
    <x v="1"/>
    <n v="50"/>
    <n v="31"/>
    <n v="29"/>
    <n v="47"/>
    <n v="0.62"/>
  </r>
  <r>
    <d v="2026-07-01T00:00:00"/>
    <x v="0"/>
    <x v="4"/>
    <x v="1"/>
    <n v="50"/>
    <n v="19"/>
    <n v="18"/>
    <n v="35"/>
    <n v="0.38"/>
  </r>
  <r>
    <d v="2026-07-01T00:00:00"/>
    <x v="0"/>
    <x v="5"/>
    <x v="1"/>
    <n v="50"/>
    <n v="37"/>
    <n v="35"/>
    <n v="57"/>
    <n v="0.74"/>
  </r>
  <r>
    <d v="2026-07-01T00:00:00"/>
    <x v="0"/>
    <x v="6"/>
    <x v="1"/>
    <n v="50"/>
    <n v="43"/>
    <n v="40"/>
    <n v="64"/>
    <n v="0.86"/>
  </r>
  <r>
    <d v="2026-07-01T00:00:00"/>
    <x v="0"/>
    <x v="7"/>
    <x v="1"/>
    <n v="50"/>
    <n v="47"/>
    <n v="44"/>
    <n v="69"/>
    <n v="0.94"/>
  </r>
  <r>
    <d v="2026-07-01T00:00:00"/>
    <x v="0"/>
    <x v="8"/>
    <x v="1"/>
    <n v="50"/>
    <n v="41"/>
    <n v="38"/>
    <n v="62"/>
    <n v="0.82"/>
  </r>
  <r>
    <d v="2026-07-01T00:00:00"/>
    <x v="0"/>
    <x v="9"/>
    <x v="1"/>
    <n v="50"/>
    <n v="27"/>
    <n v="25"/>
    <n v="48"/>
    <n v="0.54"/>
  </r>
  <r>
    <d v="2026-07-01T00:00:00"/>
    <x v="0"/>
    <x v="0"/>
    <x v="2"/>
    <n v="40"/>
    <n v="21"/>
    <n v="20"/>
    <n v="41"/>
    <n v="0.52500000000000002"/>
  </r>
  <r>
    <d v="2026-07-01T00:00:00"/>
    <x v="0"/>
    <x v="1"/>
    <x v="2"/>
    <n v="40"/>
    <n v="29"/>
    <n v="27"/>
    <n v="49"/>
    <n v="0.72499999999999998"/>
  </r>
  <r>
    <d v="2026-07-01T00:00:00"/>
    <x v="0"/>
    <x v="2"/>
    <x v="2"/>
    <n v="40"/>
    <n v="35"/>
    <n v="33"/>
    <n v="58"/>
    <n v="0.875"/>
  </r>
  <r>
    <d v="2026-07-01T00:00:00"/>
    <x v="0"/>
    <x v="3"/>
    <x v="2"/>
    <n v="40"/>
    <n v="25"/>
    <n v="23"/>
    <n v="45"/>
    <n v="0.625"/>
  </r>
  <r>
    <d v="2026-07-01T00:00:00"/>
    <x v="0"/>
    <x v="4"/>
    <x v="2"/>
    <n v="40"/>
    <n v="14"/>
    <n v="13"/>
    <n v="31"/>
    <n v="0.35"/>
  </r>
  <r>
    <d v="2026-07-01T00:00:00"/>
    <x v="0"/>
    <x v="5"/>
    <x v="2"/>
    <n v="40"/>
    <n v="30"/>
    <n v="28"/>
    <n v="54"/>
    <n v="0.75"/>
  </r>
  <r>
    <d v="2026-07-01T00:00:00"/>
    <x v="0"/>
    <x v="6"/>
    <x v="2"/>
    <n v="40"/>
    <n v="34"/>
    <n v="32"/>
    <n v="61"/>
    <n v="0.85"/>
  </r>
  <r>
    <d v="2026-07-01T00:00:00"/>
    <x v="0"/>
    <x v="7"/>
    <x v="2"/>
    <n v="40"/>
    <n v="38"/>
    <n v="35"/>
    <n v="67"/>
    <n v="0.95"/>
  </r>
  <r>
    <d v="2026-07-01T00:00:00"/>
    <x v="0"/>
    <x v="8"/>
    <x v="2"/>
    <n v="40"/>
    <n v="32"/>
    <n v="30"/>
    <n v="59"/>
    <n v="0.8"/>
  </r>
  <r>
    <d v="2026-07-01T00:00:00"/>
    <x v="0"/>
    <x v="9"/>
    <x v="2"/>
    <n v="40"/>
    <n v="24"/>
    <n v="22"/>
    <n v="46"/>
    <n v="0.6"/>
  </r>
  <r>
    <d v="2026-07-01T00:00:00"/>
    <x v="0"/>
    <x v="0"/>
    <x v="3"/>
    <n v="70"/>
    <n v="39"/>
    <n v="37"/>
    <n v="46"/>
    <n v="0.55714285714285716"/>
  </r>
  <r>
    <d v="2026-07-01T00:00:00"/>
    <x v="0"/>
    <x v="1"/>
    <x v="3"/>
    <n v="70"/>
    <n v="52"/>
    <n v="49"/>
    <n v="58"/>
    <n v="0.74285714285714288"/>
  </r>
  <r>
    <d v="2026-07-01T00:00:00"/>
    <x v="0"/>
    <x v="2"/>
    <x v="3"/>
    <n v="70"/>
    <n v="61"/>
    <n v="57"/>
    <n v="66"/>
    <n v="0.87142857142857144"/>
  </r>
  <r>
    <d v="2026-07-01T00:00:00"/>
    <x v="0"/>
    <x v="3"/>
    <x v="3"/>
    <n v="70"/>
    <n v="44"/>
    <n v="41"/>
    <n v="53"/>
    <n v="0.62857142857142856"/>
  </r>
  <r>
    <d v="2026-07-01T00:00:00"/>
    <x v="0"/>
    <x v="4"/>
    <x v="3"/>
    <n v="70"/>
    <n v="27"/>
    <n v="25"/>
    <n v="38"/>
    <n v="0.38571428571428573"/>
  </r>
  <r>
    <d v="2026-07-01T00:00:00"/>
    <x v="0"/>
    <x v="5"/>
    <x v="3"/>
    <n v="70"/>
    <n v="48"/>
    <n v="45"/>
    <n v="57"/>
    <n v="0.68571428571428572"/>
  </r>
  <r>
    <d v="2026-07-01T00:00:00"/>
    <x v="0"/>
    <x v="6"/>
    <x v="3"/>
    <n v="70"/>
    <n v="59"/>
    <n v="55"/>
    <n v="65"/>
    <n v="0.84285714285714286"/>
  </r>
  <r>
    <d v="2026-07-01T00:00:00"/>
    <x v="0"/>
    <x v="7"/>
    <x v="3"/>
    <n v="70"/>
    <n v="65"/>
    <n v="61"/>
    <n v="72"/>
    <n v="0.9285714285714286"/>
  </r>
  <r>
    <d v="2026-07-01T00:00:00"/>
    <x v="0"/>
    <x v="8"/>
    <x v="3"/>
    <n v="70"/>
    <n v="56"/>
    <n v="52"/>
    <n v="64"/>
    <n v="0.8"/>
  </r>
  <r>
    <d v="2026-07-01T00:00:00"/>
    <x v="0"/>
    <x v="9"/>
    <x v="3"/>
    <n v="70"/>
    <n v="38"/>
    <n v="36"/>
    <n v="49"/>
    <n v="0.54285714285714282"/>
  </r>
  <r>
    <d v="2026-07-02T00:00:00"/>
    <x v="1"/>
    <x v="0"/>
    <x v="0"/>
    <n v="60"/>
    <n v="38"/>
    <n v="36"/>
    <n v="52"/>
    <n v="0.63329999999999997"/>
  </r>
  <r>
    <d v="2026-07-02T00:00:00"/>
    <x v="1"/>
    <x v="1"/>
    <x v="0"/>
    <n v="60"/>
    <n v="46"/>
    <n v="44"/>
    <n v="61"/>
    <n v="0.76670000000000005"/>
  </r>
  <r>
    <d v="2026-07-02T00:00:00"/>
    <x v="1"/>
    <x v="2"/>
    <x v="0"/>
    <n v="60"/>
    <n v="51"/>
    <n v="48"/>
    <n v="68"/>
    <n v="0.85"/>
  </r>
  <r>
    <d v="2026-07-02T00:00:00"/>
    <x v="1"/>
    <x v="3"/>
    <x v="0"/>
    <n v="60"/>
    <n v="44"/>
    <n v="41"/>
    <n v="57"/>
    <n v="0.73329999999999995"/>
  </r>
  <r>
    <d v="2026-07-02T00:00:00"/>
    <x v="1"/>
    <x v="5"/>
    <x v="1"/>
    <n v="50"/>
    <n v="35"/>
    <n v="33"/>
    <n v="49"/>
    <n v="0.7"/>
  </r>
  <r>
    <d v="2026-07-02T00:00:00"/>
    <x v="1"/>
    <x v="6"/>
    <x v="1"/>
    <n v="50"/>
    <n v="41"/>
    <n v="39"/>
    <n v="58"/>
    <n v="0.82"/>
  </r>
  <r>
    <d v="2026-07-02T00:00:00"/>
    <x v="1"/>
    <x v="7"/>
    <x v="1"/>
    <n v="50"/>
    <n v="45"/>
    <n v="43"/>
    <n v="64"/>
    <n v="0.9"/>
  </r>
  <r>
    <d v="2026-07-03T00:00:00"/>
    <x v="2"/>
    <x v="0"/>
    <x v="2"/>
    <n v="40"/>
    <n v="27"/>
    <n v="25"/>
    <n v="45"/>
    <n v="0.67500000000000004"/>
  </r>
  <r>
    <d v="2026-07-03T00:00:00"/>
    <x v="2"/>
    <x v="1"/>
    <x v="2"/>
    <n v="40"/>
    <n v="32"/>
    <n v="30"/>
    <n v="53"/>
    <n v="0.8"/>
  </r>
  <r>
    <d v="2026-07-03T00:00:00"/>
    <x v="2"/>
    <x v="2"/>
    <x v="2"/>
    <n v="40"/>
    <n v="36"/>
    <n v="34"/>
    <n v="62"/>
    <n v="0.9"/>
  </r>
  <r>
    <d v="2026-07-03T00:00:00"/>
    <x v="2"/>
    <x v="3"/>
    <x v="2"/>
    <n v="40"/>
    <n v="30"/>
    <n v="28"/>
    <n v="51"/>
    <n v="0.75"/>
  </r>
  <r>
    <d v="2026-07-03T00:00:00"/>
    <x v="2"/>
    <x v="5"/>
    <x v="3"/>
    <n v="70"/>
    <n v="48"/>
    <n v="45"/>
    <n v="55"/>
    <n v="0.68569999999999998"/>
  </r>
  <r>
    <d v="2026-07-03T00:00:00"/>
    <x v="2"/>
    <x v="6"/>
    <x v="3"/>
    <n v="70"/>
    <n v="55"/>
    <n v="52"/>
    <n v="63"/>
    <n v="0.78569999999999995"/>
  </r>
  <r>
    <d v="2026-07-03T00:00:00"/>
    <x v="2"/>
    <x v="7"/>
    <x v="3"/>
    <n v="70"/>
    <n v="61"/>
    <n v="58"/>
    <n v="71"/>
    <n v="0.87139999999999995"/>
  </r>
  <r>
    <d v="2026-07-04T00:00:00"/>
    <x v="3"/>
    <x v="0"/>
    <x v="0"/>
    <n v="60"/>
    <n v="29"/>
    <n v="27"/>
    <n v="43"/>
    <n v="0.48330000000000001"/>
  </r>
  <r>
    <d v="2026-07-04T00:00:00"/>
    <x v="3"/>
    <x v="1"/>
    <x v="0"/>
    <n v="60"/>
    <n v="35"/>
    <n v="33"/>
    <n v="51"/>
    <n v="0.58330000000000004"/>
  </r>
  <r>
    <d v="2026-07-04T00:00:00"/>
    <x v="3"/>
    <x v="2"/>
    <x v="0"/>
    <n v="60"/>
    <n v="42"/>
    <n v="40"/>
    <n v="59"/>
    <n v="0.7"/>
  </r>
  <r>
    <d v="2026-07-04T00:00:00"/>
    <x v="3"/>
    <x v="3"/>
    <x v="0"/>
    <n v="60"/>
    <n v="38"/>
    <n v="36"/>
    <n v="54"/>
    <n v="0.63329999999999997"/>
  </r>
  <r>
    <d v="2026-07-04T00:00:00"/>
    <x v="3"/>
    <x v="5"/>
    <x v="1"/>
    <n v="50"/>
    <n v="28"/>
    <n v="26"/>
    <n v="46"/>
    <n v="0.56000000000000005"/>
  </r>
  <r>
    <d v="2026-07-04T00:00:00"/>
    <x v="3"/>
    <x v="6"/>
    <x v="1"/>
    <n v="50"/>
    <n v="34"/>
    <n v="32"/>
    <n v="52"/>
    <n v="0.68"/>
  </r>
  <r>
    <d v="2026-07-04T00:00:00"/>
    <x v="3"/>
    <x v="7"/>
    <x v="1"/>
    <n v="50"/>
    <n v="39"/>
    <n v="37"/>
    <n v="60"/>
    <n v="0.7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6-07-01T00:00:00"/>
    <x v="0"/>
    <x v="0"/>
    <x v="0"/>
    <x v="0"/>
    <n v="42"/>
    <n v="35"/>
    <n v="1680"/>
    <n v="48"/>
  </r>
  <r>
    <d v="2026-07-01T00:00:00"/>
    <x v="0"/>
    <x v="1"/>
    <x v="1"/>
    <x v="1"/>
    <n v="28"/>
    <n v="24"/>
    <n v="1120"/>
    <n v="46.666666666666664"/>
  </r>
  <r>
    <d v="2026-07-01T00:00:00"/>
    <x v="0"/>
    <x v="2"/>
    <x v="2"/>
    <x v="2"/>
    <n v="56"/>
    <n v="48"/>
    <n v="1680"/>
    <n v="35"/>
  </r>
  <r>
    <d v="2026-07-01T00:00:00"/>
    <x v="0"/>
    <x v="3"/>
    <x v="3"/>
    <x v="3"/>
    <n v="68"/>
    <n v="61"/>
    <n v="6800"/>
    <n v="111.47540983606558"/>
  </r>
  <r>
    <d v="2026-07-01T00:00:00"/>
    <x v="0"/>
    <x v="4"/>
    <x v="3"/>
    <x v="4"/>
    <n v="74"/>
    <n v="69"/>
    <n v="8880"/>
    <n v="128.69565217391303"/>
  </r>
  <r>
    <d v="2026-07-01T00:00:00"/>
    <x v="0"/>
    <x v="5"/>
    <x v="2"/>
    <x v="5"/>
    <n v="31"/>
    <n v="28"/>
    <n v="930"/>
    <n v="33.214285714285715"/>
  </r>
  <r>
    <d v="2026-07-01T00:00:00"/>
    <x v="0"/>
    <x v="6"/>
    <x v="1"/>
    <x v="6"/>
    <n v="36"/>
    <n v="31"/>
    <n v="1440"/>
    <n v="46.451612903225808"/>
  </r>
  <r>
    <d v="2026-07-01T00:00:00"/>
    <x v="0"/>
    <x v="7"/>
    <x v="2"/>
    <x v="7"/>
    <n v="47"/>
    <n v="39"/>
    <n v="1880"/>
    <n v="48.205128205128204"/>
  </r>
  <r>
    <d v="2026-07-01T00:00:00"/>
    <x v="0"/>
    <x v="8"/>
    <x v="1"/>
    <x v="1"/>
    <n v="52"/>
    <n v="45"/>
    <n v="2080"/>
    <n v="46.222222222222221"/>
  </r>
  <r>
    <d v="2026-07-01T00:00:00"/>
    <x v="0"/>
    <x v="9"/>
    <x v="1"/>
    <x v="8"/>
    <n v="44"/>
    <n v="40"/>
    <n v="2640"/>
    <n v="66"/>
  </r>
  <r>
    <d v="2026-07-02T00:00:00"/>
    <x v="1"/>
    <x v="0"/>
    <x v="0"/>
    <x v="9"/>
    <n v="48"/>
    <n v="41"/>
    <n v="2400"/>
    <n v="58.536585365853661"/>
  </r>
  <r>
    <d v="2026-07-02T00:00:00"/>
    <x v="1"/>
    <x v="1"/>
    <x v="1"/>
    <x v="10"/>
    <n v="32"/>
    <n v="27"/>
    <n v="1280"/>
    <n v="47.407407407407405"/>
  </r>
  <r>
    <d v="2026-07-02T00:00:00"/>
    <x v="1"/>
    <x v="2"/>
    <x v="2"/>
    <x v="2"/>
    <n v="61"/>
    <n v="52"/>
    <n v="1830"/>
    <n v="35.192307692307693"/>
  </r>
  <r>
    <d v="2026-07-02T00:00:00"/>
    <x v="1"/>
    <x v="3"/>
    <x v="3"/>
    <x v="3"/>
    <n v="59"/>
    <n v="53"/>
    <n v="5900"/>
    <n v="111.32075471698113"/>
  </r>
  <r>
    <d v="2026-07-02T00:00:00"/>
    <x v="1"/>
    <x v="4"/>
    <x v="3"/>
    <x v="4"/>
    <n v="82"/>
    <n v="76"/>
    <n v="9840"/>
    <n v="129.47368421052633"/>
  </r>
  <r>
    <d v="2026-07-02T00:00:00"/>
    <x v="1"/>
    <x v="5"/>
    <x v="2"/>
    <x v="5"/>
    <n v="38"/>
    <n v="34"/>
    <n v="1140"/>
    <n v="33.529411764705884"/>
  </r>
  <r>
    <d v="2026-07-02T00:00:00"/>
    <x v="1"/>
    <x v="6"/>
    <x v="1"/>
    <x v="6"/>
    <n v="41"/>
    <n v="35"/>
    <n v="1640"/>
    <n v="46.857142857142854"/>
  </r>
  <r>
    <d v="2026-07-02T00:00:00"/>
    <x v="1"/>
    <x v="7"/>
    <x v="2"/>
    <x v="7"/>
    <n v="54"/>
    <n v="46"/>
    <n v="2160"/>
    <n v="46.956521739130437"/>
  </r>
  <r>
    <d v="2026-07-02T00:00:00"/>
    <x v="1"/>
    <x v="8"/>
    <x v="1"/>
    <x v="1"/>
    <n v="63"/>
    <n v="54"/>
    <n v="2520"/>
    <n v="46.666666666666664"/>
  </r>
  <r>
    <d v="2026-07-02T00:00:00"/>
    <x v="1"/>
    <x v="9"/>
    <x v="1"/>
    <x v="8"/>
    <n v="49"/>
    <n v="44"/>
    <n v="2940"/>
    <n v="66.818181818181813"/>
  </r>
  <r>
    <d v="2026-07-03T00:00:00"/>
    <x v="2"/>
    <x v="0"/>
    <x v="0"/>
    <x v="0"/>
    <n v="55"/>
    <n v="46"/>
    <n v="2200"/>
    <n v="47.826086956521742"/>
  </r>
  <r>
    <d v="2026-07-03T00:00:00"/>
    <x v="2"/>
    <x v="1"/>
    <x v="1"/>
    <x v="1"/>
    <n v="37"/>
    <n v="31"/>
    <n v="1480"/>
    <n v="47.741935483870968"/>
  </r>
  <r>
    <d v="2026-07-03T00:00:00"/>
    <x v="2"/>
    <x v="2"/>
    <x v="2"/>
    <x v="2"/>
    <n v="69"/>
    <n v="58"/>
    <n v="2070"/>
    <n v="35.689655172413794"/>
  </r>
  <r>
    <d v="2026-07-03T00:00:00"/>
    <x v="2"/>
    <x v="3"/>
    <x v="3"/>
    <x v="3"/>
    <n v="72"/>
    <n v="65"/>
    <n v="7200"/>
    <n v="110.76923076923077"/>
  </r>
  <r>
    <d v="2026-07-03T00:00:00"/>
    <x v="2"/>
    <x v="4"/>
    <x v="3"/>
    <x v="4"/>
    <n v="91"/>
    <n v="84"/>
    <n v="10920"/>
    <n v="130"/>
  </r>
  <r>
    <d v="2026-07-03T00:00:00"/>
    <x v="2"/>
    <x v="5"/>
    <x v="2"/>
    <x v="5"/>
    <n v="43"/>
    <n v="38"/>
    <n v="1290"/>
    <n v="33.94736842105263"/>
  </r>
  <r>
    <d v="2026-07-03T00:00:00"/>
    <x v="2"/>
    <x v="6"/>
    <x v="1"/>
    <x v="6"/>
    <n v="48"/>
    <n v="41"/>
    <n v="1920"/>
    <n v="46.829268292682926"/>
  </r>
  <r>
    <d v="2026-07-03T00:00:00"/>
    <x v="2"/>
    <x v="7"/>
    <x v="2"/>
    <x v="7"/>
    <n v="59"/>
    <n v="51"/>
    <n v="2360"/>
    <n v="46.274509803921568"/>
  </r>
  <r>
    <d v="2026-07-03T00:00:00"/>
    <x v="2"/>
    <x v="8"/>
    <x v="1"/>
    <x v="1"/>
    <n v="71"/>
    <n v="62"/>
    <n v="2840"/>
    <n v="45.806451612903224"/>
  </r>
  <r>
    <d v="2026-07-03T00:00:00"/>
    <x v="2"/>
    <x v="9"/>
    <x v="1"/>
    <x v="8"/>
    <n v="57"/>
    <n v="50"/>
    <n v="3420"/>
    <n v="68.400000000000006"/>
  </r>
  <r>
    <d v="2026-07-04T00:00:00"/>
    <x v="3"/>
    <x v="0"/>
    <x v="0"/>
    <x v="9"/>
    <n v="39"/>
    <n v="33"/>
    <n v="1950"/>
    <n v="59.090909090909093"/>
  </r>
  <r>
    <d v="2026-07-04T00:00:00"/>
    <x v="3"/>
    <x v="1"/>
    <x v="1"/>
    <x v="10"/>
    <n v="25"/>
    <n v="22"/>
    <n v="1000"/>
    <n v="45.454545454545453"/>
  </r>
  <r>
    <d v="2026-07-04T00:00:00"/>
    <x v="3"/>
    <x v="2"/>
    <x v="2"/>
    <x v="2"/>
    <n v="44"/>
    <n v="38"/>
    <n v="1320"/>
    <n v="34.736842105263158"/>
  </r>
  <r>
    <d v="2026-07-04T00:00:00"/>
    <x v="3"/>
    <x v="3"/>
    <x v="3"/>
    <x v="3"/>
    <n v="51"/>
    <n v="46"/>
    <n v="5100"/>
    <n v="110.8695652173913"/>
  </r>
  <r>
    <d v="2026-07-04T00:00:00"/>
    <x v="3"/>
    <x v="4"/>
    <x v="3"/>
    <x v="4"/>
    <n v="63"/>
    <n v="58"/>
    <n v="7560"/>
    <n v="130.34482758620689"/>
  </r>
  <r>
    <d v="2026-07-04T00:00:00"/>
    <x v="3"/>
    <x v="5"/>
    <x v="2"/>
    <x v="5"/>
    <n v="29"/>
    <n v="25"/>
    <n v="870"/>
    <n v="34.799999999999997"/>
  </r>
  <r>
    <d v="2026-07-04T00:00:00"/>
    <x v="3"/>
    <x v="6"/>
    <x v="1"/>
    <x v="6"/>
    <n v="34"/>
    <n v="29"/>
    <n v="1360"/>
    <n v="46.896551724137929"/>
  </r>
  <r>
    <d v="2026-07-04T00:00:00"/>
    <x v="3"/>
    <x v="7"/>
    <x v="2"/>
    <x v="7"/>
    <n v="42"/>
    <n v="36"/>
    <n v="1680"/>
    <n v="46.666666666666664"/>
  </r>
  <r>
    <d v="2026-07-04T00:00:00"/>
    <x v="3"/>
    <x v="8"/>
    <x v="1"/>
    <x v="1"/>
    <n v="48"/>
    <n v="41"/>
    <n v="1920"/>
    <n v="46.829268292682926"/>
  </r>
  <r>
    <d v="2026-07-04T00:00:00"/>
    <x v="3"/>
    <x v="9"/>
    <x v="1"/>
    <x v="8"/>
    <n v="39"/>
    <n v="35"/>
    <n v="2340"/>
    <n v="66.85714285714286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d v="2026-07-01T00:00:00"/>
    <x v="0"/>
    <d v="1899-12-30T07:00:00"/>
    <x v="0"/>
    <x v="0"/>
    <n v="50"/>
    <n v="42"/>
    <n v="0"/>
    <n v="8"/>
    <n v="0.84"/>
  </r>
  <r>
    <d v="2026-07-01T00:00:00"/>
    <x v="0"/>
    <d v="1899-12-30T07:15:00"/>
    <x v="0"/>
    <x v="1"/>
    <n v="50"/>
    <n v="18"/>
    <n v="4"/>
    <n v="10"/>
    <n v="0.36"/>
  </r>
  <r>
    <d v="2026-07-01T00:00:00"/>
    <x v="0"/>
    <d v="1899-12-30T07:30:00"/>
    <x v="0"/>
    <x v="2"/>
    <n v="50"/>
    <n v="14"/>
    <n v="8"/>
    <n v="12"/>
    <n v="0.28000000000000003"/>
  </r>
  <r>
    <d v="2026-07-01T00:00:00"/>
    <x v="0"/>
    <d v="1899-12-30T07:45:00"/>
    <x v="0"/>
    <x v="3"/>
    <n v="50"/>
    <n v="9"/>
    <n v="12"/>
    <n v="15"/>
    <n v="0.18"/>
  </r>
  <r>
    <d v="2026-07-01T00:00:00"/>
    <x v="0"/>
    <d v="1899-12-30T08:00:00"/>
    <x v="0"/>
    <x v="4"/>
    <n v="50"/>
    <n v="2"/>
    <n v="41"/>
    <n v="18"/>
    <n v="0.04"/>
  </r>
  <r>
    <d v="2026-07-01T00:00:00"/>
    <x v="0"/>
    <d v="1899-12-30T07:00:00"/>
    <x v="1"/>
    <x v="0"/>
    <n v="45"/>
    <n v="38"/>
    <n v="0"/>
    <n v="7"/>
    <n v="0.84444444444444444"/>
  </r>
  <r>
    <d v="2026-07-01T00:00:00"/>
    <x v="0"/>
    <d v="1899-12-30T07:15:00"/>
    <x v="1"/>
    <x v="5"/>
    <n v="45"/>
    <n v="16"/>
    <n v="3"/>
    <n v="9"/>
    <n v="0.35555555555555557"/>
  </r>
  <r>
    <d v="2026-07-01T00:00:00"/>
    <x v="0"/>
    <d v="1899-12-30T07:30:00"/>
    <x v="1"/>
    <x v="6"/>
    <n v="45"/>
    <n v="11"/>
    <n v="7"/>
    <n v="11"/>
    <n v="0.24444444444444444"/>
  </r>
  <r>
    <d v="2026-07-01T00:00:00"/>
    <x v="0"/>
    <d v="1899-12-30T07:45:00"/>
    <x v="1"/>
    <x v="7"/>
    <n v="45"/>
    <n v="8"/>
    <n v="10"/>
    <n v="14"/>
    <n v="0.17777777777777778"/>
  </r>
  <r>
    <d v="2026-07-01T00:00:00"/>
    <x v="0"/>
    <d v="1899-12-30T08:00:00"/>
    <x v="1"/>
    <x v="4"/>
    <n v="45"/>
    <n v="3"/>
    <n v="35"/>
    <n v="17"/>
    <n v="6.6666666666666666E-2"/>
  </r>
  <r>
    <d v="2026-07-01T00:00:00"/>
    <x v="0"/>
    <d v="1899-12-30T07:00:00"/>
    <x v="2"/>
    <x v="0"/>
    <n v="55"/>
    <n v="47"/>
    <n v="0"/>
    <n v="9"/>
    <n v="0.8545454545454545"/>
  </r>
  <r>
    <d v="2026-07-01T00:00:00"/>
    <x v="0"/>
    <d v="1899-12-30T07:15:00"/>
    <x v="2"/>
    <x v="2"/>
    <n v="55"/>
    <n v="21"/>
    <n v="5"/>
    <n v="11"/>
    <n v="0.38181818181818183"/>
  </r>
  <r>
    <d v="2026-07-01T00:00:00"/>
    <x v="0"/>
    <d v="1899-12-30T07:30:00"/>
    <x v="2"/>
    <x v="8"/>
    <n v="55"/>
    <n v="13"/>
    <n v="9"/>
    <n v="13"/>
    <n v="0.23636363636363636"/>
  </r>
  <r>
    <d v="2026-07-01T00:00:00"/>
    <x v="0"/>
    <d v="1899-12-30T07:45:00"/>
    <x v="2"/>
    <x v="9"/>
    <n v="55"/>
    <n v="7"/>
    <n v="15"/>
    <n v="17"/>
    <n v="0.12727272727272726"/>
  </r>
  <r>
    <d v="2026-07-01T00:00:00"/>
    <x v="0"/>
    <d v="1899-12-30T08:00:00"/>
    <x v="2"/>
    <x v="4"/>
    <n v="55"/>
    <n v="2"/>
    <n v="43"/>
    <n v="21"/>
    <n v="3.6363636363636362E-2"/>
  </r>
  <r>
    <d v="2026-07-02T00:00:00"/>
    <x v="1"/>
    <d v="1899-12-30T07:00:00"/>
    <x v="0"/>
    <x v="0"/>
    <n v="50"/>
    <n v="45"/>
    <n v="0"/>
    <n v="8"/>
    <n v="0.9"/>
  </r>
  <r>
    <d v="2026-07-02T00:00:00"/>
    <x v="1"/>
    <d v="1899-12-30T07:15:00"/>
    <x v="0"/>
    <x v="1"/>
    <n v="50"/>
    <n v="20"/>
    <n v="5"/>
    <n v="10"/>
    <n v="0.4"/>
  </r>
  <r>
    <d v="2026-07-02T00:00:00"/>
    <x v="1"/>
    <d v="1899-12-30T07:30:00"/>
    <x v="0"/>
    <x v="2"/>
    <n v="50"/>
    <n v="16"/>
    <n v="9"/>
    <n v="12"/>
    <n v="0.32"/>
  </r>
  <r>
    <d v="2026-07-02T00:00:00"/>
    <x v="1"/>
    <d v="1899-12-30T07:45:00"/>
    <x v="0"/>
    <x v="3"/>
    <n v="50"/>
    <n v="10"/>
    <n v="13"/>
    <n v="15"/>
    <n v="0.2"/>
  </r>
  <r>
    <d v="2026-07-02T00:00:00"/>
    <x v="1"/>
    <d v="1899-12-30T08:00:00"/>
    <x v="0"/>
    <x v="4"/>
    <n v="50"/>
    <n v="2"/>
    <n v="44"/>
    <n v="18"/>
    <n v="0.04"/>
  </r>
  <r>
    <d v="2026-07-02T00:00:00"/>
    <x v="1"/>
    <d v="1899-12-30T07:00:00"/>
    <x v="1"/>
    <x v="0"/>
    <n v="45"/>
    <n v="41"/>
    <n v="0"/>
    <n v="7"/>
    <n v="0.91111111111111109"/>
  </r>
  <r>
    <d v="2026-07-02T00:00:00"/>
    <x v="1"/>
    <d v="1899-12-30T07:15:00"/>
    <x v="1"/>
    <x v="5"/>
    <n v="45"/>
    <n v="18"/>
    <n v="4"/>
    <n v="9"/>
    <n v="0.4"/>
  </r>
  <r>
    <d v="2026-07-02T00:00:00"/>
    <x v="1"/>
    <d v="1899-12-30T07:30:00"/>
    <x v="1"/>
    <x v="6"/>
    <n v="45"/>
    <n v="12"/>
    <n v="8"/>
    <n v="11"/>
    <n v="0.26666666666666666"/>
  </r>
  <r>
    <d v="2026-07-02T00:00:00"/>
    <x v="1"/>
    <d v="1899-12-30T07:45:00"/>
    <x v="1"/>
    <x v="7"/>
    <n v="45"/>
    <n v="9"/>
    <n v="11"/>
    <n v="14"/>
    <n v="0.2"/>
  </r>
  <r>
    <d v="2026-07-02T00:00:00"/>
    <x v="1"/>
    <d v="1899-12-30T08:00:00"/>
    <x v="1"/>
    <x v="4"/>
    <n v="45"/>
    <n v="3"/>
    <n v="38"/>
    <n v="17"/>
    <n v="6.6666666666666666E-2"/>
  </r>
  <r>
    <d v="2026-07-02T00:00:00"/>
    <x v="1"/>
    <d v="1899-12-30T07:00:00"/>
    <x v="2"/>
    <x v="0"/>
    <n v="55"/>
    <n v="51"/>
    <n v="0"/>
    <n v="9"/>
    <n v="0.92727272727272725"/>
  </r>
  <r>
    <d v="2026-07-02T00:00:00"/>
    <x v="1"/>
    <d v="1899-12-30T07:15:00"/>
    <x v="2"/>
    <x v="2"/>
    <n v="55"/>
    <n v="23"/>
    <n v="6"/>
    <n v="11"/>
    <n v="0.41818181818181815"/>
  </r>
  <r>
    <d v="2026-07-02T00:00:00"/>
    <x v="1"/>
    <d v="1899-12-30T07:30:00"/>
    <x v="2"/>
    <x v="8"/>
    <n v="55"/>
    <n v="15"/>
    <n v="10"/>
    <n v="13"/>
    <n v="0.27272727272727271"/>
  </r>
  <r>
    <d v="2026-07-02T00:00:00"/>
    <x v="1"/>
    <d v="1899-12-30T07:45:00"/>
    <x v="2"/>
    <x v="9"/>
    <n v="55"/>
    <n v="8"/>
    <n v="16"/>
    <n v="17"/>
    <n v="0.14545454545454545"/>
  </r>
  <r>
    <d v="2026-07-02T00:00:00"/>
    <x v="1"/>
    <d v="1899-12-30T08:00:00"/>
    <x v="2"/>
    <x v="4"/>
    <n v="55"/>
    <n v="2"/>
    <n v="47"/>
    <n v="21"/>
    <n v="3.6363636363636362E-2"/>
  </r>
  <r>
    <d v="2026-07-03T00:00:00"/>
    <x v="2"/>
    <d v="1899-12-30T07:00:00"/>
    <x v="0"/>
    <x v="0"/>
    <n v="50"/>
    <n v="48"/>
    <n v="0"/>
    <n v="8"/>
    <n v="0.96"/>
  </r>
  <r>
    <d v="2026-07-03T00:00:00"/>
    <x v="2"/>
    <d v="1899-12-30T07:15:00"/>
    <x v="0"/>
    <x v="1"/>
    <n v="50"/>
    <n v="22"/>
    <n v="5"/>
    <n v="10"/>
    <n v="0.44"/>
  </r>
  <r>
    <d v="2026-07-03T00:00:00"/>
    <x v="2"/>
    <d v="1899-12-30T07:30:00"/>
    <x v="0"/>
    <x v="2"/>
    <n v="50"/>
    <n v="17"/>
    <n v="10"/>
    <n v="12"/>
    <n v="0.34"/>
  </r>
  <r>
    <d v="2026-07-03T00:00:00"/>
    <x v="2"/>
    <d v="1899-12-30T07:45:00"/>
    <x v="0"/>
    <x v="3"/>
    <n v="50"/>
    <n v="11"/>
    <n v="14"/>
    <n v="15"/>
    <n v="0.22"/>
  </r>
  <r>
    <d v="2026-07-03T00:00:00"/>
    <x v="2"/>
    <d v="1899-12-30T08:00:00"/>
    <x v="0"/>
    <x v="4"/>
    <n v="50"/>
    <n v="2"/>
    <n v="46"/>
    <n v="18"/>
    <n v="0.04"/>
  </r>
  <r>
    <d v="2026-07-03T00:00:00"/>
    <x v="2"/>
    <d v="1899-12-30T07:00:00"/>
    <x v="1"/>
    <x v="0"/>
    <n v="45"/>
    <n v="43"/>
    <n v="0"/>
    <n v="7"/>
    <n v="0.9555555555555556"/>
  </r>
  <r>
    <d v="2026-07-03T00:00:00"/>
    <x v="2"/>
    <d v="1899-12-30T07:15:00"/>
    <x v="1"/>
    <x v="5"/>
    <n v="45"/>
    <n v="19"/>
    <n v="4"/>
    <n v="9"/>
    <n v="0.42222222222222222"/>
  </r>
  <r>
    <d v="2026-07-03T00:00:00"/>
    <x v="2"/>
    <d v="1899-12-30T07:30:00"/>
    <x v="1"/>
    <x v="6"/>
    <n v="45"/>
    <n v="13"/>
    <n v="8"/>
    <n v="11"/>
    <n v="0.28888888888888886"/>
  </r>
  <r>
    <d v="2026-07-03T00:00:00"/>
    <x v="2"/>
    <d v="1899-12-30T07:45:00"/>
    <x v="1"/>
    <x v="7"/>
    <n v="45"/>
    <n v="9"/>
    <n v="12"/>
    <n v="14"/>
    <n v="0.2"/>
  </r>
  <r>
    <d v="2026-07-03T00:00:00"/>
    <x v="2"/>
    <d v="1899-12-30T08:00:00"/>
    <x v="1"/>
    <x v="4"/>
    <n v="45"/>
    <n v="3"/>
    <n v="40"/>
    <n v="17"/>
    <n v="6.6666666666666666E-2"/>
  </r>
  <r>
    <d v="2026-07-03T00:00:00"/>
    <x v="2"/>
    <d v="1899-12-30T07:00:00"/>
    <x v="2"/>
    <x v="0"/>
    <n v="55"/>
    <n v="53"/>
    <n v="0"/>
    <n v="9"/>
    <n v="0.96363636363636362"/>
  </r>
  <r>
    <d v="2026-07-03T00:00:00"/>
    <x v="2"/>
    <d v="1899-12-30T07:15:00"/>
    <x v="2"/>
    <x v="2"/>
    <n v="55"/>
    <n v="24"/>
    <n v="6"/>
    <n v="11"/>
    <n v="0.43636363636363634"/>
  </r>
  <r>
    <d v="2026-07-03T00:00:00"/>
    <x v="2"/>
    <d v="1899-12-30T07:30:00"/>
    <x v="2"/>
    <x v="8"/>
    <n v="55"/>
    <n v="16"/>
    <n v="11"/>
    <n v="13"/>
    <n v="0.29090909090909089"/>
  </r>
  <r>
    <d v="2026-07-03T00:00:00"/>
    <x v="2"/>
    <d v="1899-12-30T07:45:00"/>
    <x v="2"/>
    <x v="9"/>
    <n v="55"/>
    <n v="9"/>
    <n v="17"/>
    <n v="17"/>
    <n v="0.16363636363636364"/>
  </r>
  <r>
    <d v="2026-07-03T00:00:00"/>
    <x v="2"/>
    <d v="1899-12-30T08:00:00"/>
    <x v="2"/>
    <x v="4"/>
    <n v="55"/>
    <n v="2"/>
    <n v="49"/>
    <n v="21"/>
    <n v="3.6363636363636362E-2"/>
  </r>
  <r>
    <d v="2026-07-04T00:00:00"/>
    <x v="3"/>
    <d v="1899-12-30T07:00:00"/>
    <x v="0"/>
    <x v="0"/>
    <n v="50"/>
    <n v="35"/>
    <n v="0"/>
    <n v="8"/>
    <n v="0.7"/>
  </r>
  <r>
    <d v="2026-07-04T00:00:00"/>
    <x v="3"/>
    <d v="1899-12-30T07:15:00"/>
    <x v="0"/>
    <x v="1"/>
    <n v="50"/>
    <n v="14"/>
    <n v="3"/>
    <n v="10"/>
    <n v="0.28000000000000003"/>
  </r>
  <r>
    <d v="2026-07-04T00:00:00"/>
    <x v="3"/>
    <d v="1899-12-30T07:30:00"/>
    <x v="0"/>
    <x v="2"/>
    <n v="50"/>
    <n v="10"/>
    <n v="6"/>
    <n v="12"/>
    <n v="0.2"/>
  </r>
  <r>
    <d v="2026-07-04T00:00:00"/>
    <x v="3"/>
    <d v="1899-12-30T07:45:00"/>
    <x v="0"/>
    <x v="3"/>
    <n v="50"/>
    <n v="7"/>
    <n v="9"/>
    <n v="15"/>
    <n v="0.14000000000000001"/>
  </r>
  <r>
    <d v="2026-07-04T00:00:00"/>
    <x v="3"/>
    <d v="1899-12-30T08:00:00"/>
    <x v="0"/>
    <x v="4"/>
    <n v="50"/>
    <n v="2"/>
    <n v="32"/>
    <n v="18"/>
    <n v="0.04"/>
  </r>
  <r>
    <d v="2026-07-04T00:00:00"/>
    <x v="3"/>
    <d v="1899-12-30T07:00:00"/>
    <x v="1"/>
    <x v="0"/>
    <n v="45"/>
    <n v="32"/>
    <n v="0"/>
    <n v="7"/>
    <n v="0.71111111111111114"/>
  </r>
  <r>
    <d v="2026-07-04T00:00:00"/>
    <x v="3"/>
    <d v="1899-12-30T07:15:00"/>
    <x v="1"/>
    <x v="5"/>
    <n v="45"/>
    <n v="13"/>
    <n v="3"/>
    <n v="9"/>
    <n v="0.28888888888888886"/>
  </r>
  <r>
    <d v="2026-07-04T00:00:00"/>
    <x v="3"/>
    <d v="1899-12-30T07:30:00"/>
    <x v="1"/>
    <x v="6"/>
    <n v="45"/>
    <n v="9"/>
    <n v="6"/>
    <n v="11"/>
    <n v="0.2"/>
  </r>
  <r>
    <d v="2026-07-04T00:00:00"/>
    <x v="3"/>
    <d v="1899-12-30T07:45:00"/>
    <x v="1"/>
    <x v="7"/>
    <n v="45"/>
    <n v="6"/>
    <n v="8"/>
    <n v="14"/>
    <n v="0.13333333333333333"/>
  </r>
  <r>
    <d v="2026-07-04T00:00:00"/>
    <x v="3"/>
    <d v="1899-12-30T08:00:00"/>
    <x v="1"/>
    <x v="4"/>
    <n v="45"/>
    <n v="2"/>
    <n v="29"/>
    <n v="17"/>
    <n v="4.444444444444444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613EB-EF35-4EEF-BEC5-51940B09846F}" name="PivotTable3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9:T44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/>
    <pivotField showAll="0"/>
    <pivotField showAll="0"/>
    <pivotField showAll="0"/>
    <pivotField dataField="1" showAll="0"/>
    <pivotField showAll="0"/>
    <pivotField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udents_Board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BC493-3DBE-4430-BD13-4A072E6028B7}" name="PivotTable3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9:Q50" firstHeaderRow="1" firstDataRow="1" firstDataCol="1"/>
  <pivotFields count="10">
    <pivotField numFmtId="14" showAll="0"/>
    <pivotField showAll="0"/>
    <pivotField numFmtId="20" showAll="0"/>
    <pivotField showAll="0"/>
    <pivotField axis="axisRow" showAll="0">
      <items count="11">
        <item x="5"/>
        <item x="4"/>
        <item x="3"/>
        <item x="9"/>
        <item x="6"/>
        <item x="0"/>
        <item x="2"/>
        <item x="1"/>
        <item x="8"/>
        <item x="7"/>
        <item t="default"/>
      </items>
    </pivotField>
    <pivotField showAll="0"/>
    <pivotField showAll="0"/>
    <pivotField showAll="0"/>
    <pivotField showAll="0"/>
    <pivotField dataField="1" numFmtId="1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Boarding_Utilization_%" fld="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DDA2F-8702-4C5F-B256-6B999EA7B1A9}" name="PivotTable2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9:N50" firstHeaderRow="1" firstDataRow="1" firstDataCol="1"/>
  <pivotFields count="10">
    <pivotField numFmtId="14" showAll="0"/>
    <pivotField showAll="0"/>
    <pivotField numFmtId="20" showAll="0"/>
    <pivotField showAll="0"/>
    <pivotField axis="axisRow" showAll="0">
      <items count="11">
        <item x="5"/>
        <item x="4"/>
        <item x="3"/>
        <item x="9"/>
        <item x="6"/>
        <item x="0"/>
        <item x="2"/>
        <item x="1"/>
        <item x="8"/>
        <item x="7"/>
        <item t="default"/>
      </items>
    </pivotField>
    <pivotField showAll="0"/>
    <pivotField dataField="1" showAll="0"/>
    <pivotField showAll="0"/>
    <pivotField showAll="0"/>
    <pivotField numFmtId="1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udents_Board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5EA45-A588-4171-95E3-54B987BCEAB0}" name="PivotTable2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5:K49" firstHeaderRow="1" firstDataRow="1" firstDataCol="1"/>
  <pivotFields count="10">
    <pivotField numFmtId="14" showAll="0"/>
    <pivotField showAll="0"/>
    <pivotField numFmtId="20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1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oarding_Utilization_%" fld="9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8F8AC-27A2-4291-A0D2-30EC7BC84607}" name="PivotTable2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9:K43" firstHeaderRow="1" firstDataRow="1" firstDataCol="1"/>
  <pivotFields count="10">
    <pivotField numFmtId="14" showAll="0"/>
    <pivotField showAll="0"/>
    <pivotField numFmtId="20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numFmtId="1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udents_Board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71A17-884D-4293-A2E9-37FABEA7144C}" name="PivotTable25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6:H51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numFmtId="2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CE6CE-0261-4881-A460-338EFD989012}" name="PivotTable2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9:H44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_Per_Customer" fld="8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7F357-8C49-4B48-9A4D-E7895BFE9434}" name="PivotTable2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9:E51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2">
        <item x="4"/>
        <item x="7"/>
        <item x="5"/>
        <item x="9"/>
        <item x="0"/>
        <item x="8"/>
        <item x="6"/>
        <item x="1"/>
        <item x="2"/>
        <item x="10"/>
        <item x="3"/>
        <item t="default"/>
      </items>
    </pivotField>
    <pivotField showAll="0"/>
    <pivotField showAll="0"/>
    <pivotField dataField="1" showAll="0"/>
    <pivotField numFmtId="2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01D43-A97A-4283-AD56-A841D126188C}" name="PivotTable2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50" firstHeaderRow="1" firstDataRow="1" firstDataCol="1"/>
  <pivotFields count="10">
    <pivotField numFmtId="14" showAll="0"/>
    <pivotField showAll="0"/>
    <pivotField axis="axisRow"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64C70-1CFF-45B1-93CF-082A2A45C4E3}" name="PivotTable2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1:E36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numFmtId="2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C4358-C2AF-4CBF-8946-56C202659684}" name="PivotTable20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29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BF84F-48CC-4429-973F-64FB7A7A61CC}" name="PivotTable19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6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2">
        <item x="4"/>
        <item x="7"/>
        <item x="5"/>
        <item x="9"/>
        <item x="0"/>
        <item x="8"/>
        <item x="6"/>
        <item x="1"/>
        <item x="2"/>
        <item x="10"/>
        <item x="3"/>
        <item t="default"/>
      </items>
    </pivotField>
    <pivotField dataField="1" showAll="0"/>
    <pivotField showAll="0"/>
    <pivotField showAll="0"/>
    <pivotField numFmtId="2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Quantity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59094-7AE9-45B4-85E9-D03D4116EE7E}" name="PivotTable18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numFmtId="2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37357-4FD1-4B71-9CAD-9E166A6C25FD}" name="PivotTable1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1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numFmtId="10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sed_System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E630D-DA24-45B1-A62D-E2826E6ED3C5}" name="PivotTable1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7:Q32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numFmtId="10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udents_Presen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E2E1E-24BF-429F-BB82-5617C6A59CFC}" name="PivotTable1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6:P21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numFmtId="10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tilization_%" fld="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32FBF-F2EB-40E9-B8CD-7BC407A88FEC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8:P13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numFmtId="10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tudents_Pres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F97AE-4CC6-4D87-8D5F-9EDAE790FAA0}" name="PivotTable7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I19" firstHeaderRow="1" firstDataRow="1" firstDataCol="1"/>
  <pivotFields count="10">
    <pivotField numFmtId="14" showAll="0"/>
    <pivotField showAll="0"/>
    <pivotField axis="axisRow"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numFmtId="10"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Utilization_%" fld="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4B710-565D-4AC8-8118-6468B3CC6579}" name="PivotTable6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7:J32" firstHeaderRow="1" firstDataRow="1" firstDataCol="1"/>
  <pivotFields count="10">
    <pivotField numFmtId="14" showAll="0"/>
    <pivotField showAll="0"/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numFmtId="10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tilization_%" fld="8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16E83-6CAC-4C79-945A-0ECE159FACF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E13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ooks_Return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56070-2390-4827-B159-41C1F0181529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7:N32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ooks_Issu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693F1-18E7-45E9-974D-A4E77C45A7F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:M19" firstHeaderRow="1" firstDataRow="1" firstDataCol="1"/>
  <pivotFields count="10">
    <pivotField numFmtId="14" showAll="0"/>
    <pivotField showAll="0"/>
    <pivotField axis="axisRow"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Library_Activ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8E2A9-FD88-42B6-A73E-425B98B67E7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0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numFmtId="2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ibrary_Activity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125AE-61F8-48BE-B4BF-17618A5D7887}" name="Library_Data" displayName="Library_Data" ref="A1:I41" totalsRowShown="0">
  <autoFilter ref="A1:I41" xr:uid="{7B4125AE-61F8-48BE-B4BF-17618A5D7887}"/>
  <tableColumns count="9">
    <tableColumn id="1" xr3:uid="{2FCA0819-6D23-4B81-9F99-03953CDB5642}" name="Date" dataDxfId="12"/>
    <tableColumn id="2" xr3:uid="{B4C7323B-6862-48BC-BC95-58DFD9C2491E}" name="Day"/>
    <tableColumn id="3" xr3:uid="{DADDAEC2-99B2-42F8-8302-EF198923F38E}" name="Time" dataDxfId="11"/>
    <tableColumn id="4" xr3:uid="{A3594EEC-4043-4D1B-811C-B1D2A893FB25}" name="Students_Entry"/>
    <tableColumn id="5" xr3:uid="{2C4F9570-824F-44E8-A85C-B1D23AE2D42D}" name="Students_Exit"/>
    <tableColumn id="6" xr3:uid="{28961E05-DF4A-44CC-863E-7E564D287E77}" name="Books_Issued"/>
    <tableColumn id="7" xr3:uid="{5696B58F-8580-470D-8827-B273568FAA7A}" name="Books_Returned"/>
    <tableColumn id="8" xr3:uid="{1474AA9F-60CC-4D84-BE10-E5B652DF5C5E}" name="Library_Activity" dataDxfId="10">
      <calculatedColumnFormula>D2+F2</calculatedColumnFormula>
    </tableColumn>
    <tableColumn id="9" xr3:uid="{8A109330-176E-41B6-91F9-7164F4CA9E1F}" name="Net_Student_Change" dataDxfId="9">
      <calculatedColumnFormula>D2-E2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D6BEF5-508F-4DD0-A5CC-990573B0A164}" name="tbl_labs" displayName="tbl_labs" ref="A1:I62" totalsRowShown="0">
  <autoFilter ref="A1:I62" xr:uid="{34D6BEF5-508F-4DD0-A5CC-990573B0A164}"/>
  <tableColumns count="9">
    <tableColumn id="1" xr3:uid="{2045F958-7FD8-43CC-BA23-4838B08E9E5E}" name="Date" dataDxfId="8"/>
    <tableColumn id="2" xr3:uid="{44585B65-F6E4-4018-AF03-937C96BE0154}" name="Day"/>
    <tableColumn id="3" xr3:uid="{DFC94FAC-F33E-4176-A14A-4CAD4E6C61E8}" name="Time" dataDxfId="7"/>
    <tableColumn id="4" xr3:uid="{64295105-6660-407A-A282-DC0BA8331C27}" name="Lab"/>
    <tableColumn id="5" xr3:uid="{6796AC60-4089-4873-BC9F-415FF5FC522A}" name="Total_Systems"/>
    <tableColumn id="6" xr3:uid="{10D74403-0352-4F17-A3B1-BD70ED34556D}" name="Used_Systems"/>
    <tableColumn id="7" xr3:uid="{15A5E889-1998-4FD4-9A89-4106CCE80CC8}" name="Students_Present"/>
    <tableColumn id="8" xr3:uid="{98B1174E-FCC7-431D-8E96-4FD9BD730A3C}" name="Avg_Usage_Min"/>
    <tableColumn id="9" xr3:uid="{B613B5AA-ED1A-4C6B-BF0E-0D94073EEF25}" name="Utilization_%" dataDxfId="6" dataCellStyle="Percent">
      <calculatedColumnFormula>F2/E2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A5309-B4DD-48A8-86DA-2B91D01B6169}" name="tbl_canteen" displayName="tbl_canteen" ref="A1:I41" totalsRowShown="0">
  <autoFilter ref="A1:I41" xr:uid="{078A5309-B4DD-48A8-86DA-2B91D01B6169}"/>
  <tableColumns count="9">
    <tableColumn id="1" xr3:uid="{50262792-53CB-4D7B-9AF6-85DD8BE2F4E8}" name="Date" dataDxfId="5"/>
    <tableColumn id="2" xr3:uid="{B60EE723-0A6F-4D53-B361-783D441C5C2C}" name="Day"/>
    <tableColumn id="3" xr3:uid="{EDC36924-BFFC-4CD4-A92C-B5A7C579C003}" name="Time" dataDxfId="4"/>
    <tableColumn id="4" xr3:uid="{E295A532-D1D5-413F-A792-D3AF741F5027}" name="Food_Category"/>
    <tableColumn id="5" xr3:uid="{33B479C4-A63D-4C19-B790-3771FAA4B463}" name="Item"/>
    <tableColumn id="6" xr3:uid="{ED87A883-179E-40E6-9D9E-4E4DD368E0F3}" name="Quantity_Sold"/>
    <tableColumn id="7" xr3:uid="{B4C54A37-DD0E-464E-B720-31C98F11C9B4}" name="Customers"/>
    <tableColumn id="8" xr3:uid="{CBE7AF26-6CA3-471E-A5C2-A7558DB7C7A3}" name="Revenue"/>
    <tableColumn id="9" xr3:uid="{5882CFD8-FE1A-4B84-A1B7-4A4759F2EBAB}" name="Revenue_Per_Customer" dataDxfId="3">
      <calculatedColumnFormula>H2/G2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B3F8AB-9682-4702-8961-860F78AD34CA}" name="tbl_transport" displayName="tbl_transport" ref="A1:J56" totalsRowShown="0">
  <autoFilter ref="A1:J56" xr:uid="{22B3F8AB-9682-4702-8961-860F78AD34CA}"/>
  <tableColumns count="10">
    <tableColumn id="1" xr3:uid="{1081D045-2EAD-41C8-A4D1-ACBF21024EB4}" name="Date" dataDxfId="2"/>
    <tableColumn id="2" xr3:uid="{6AF05D51-FC5E-4027-A0E7-7CAA804FAECB}" name="Day"/>
    <tableColumn id="3" xr3:uid="{7CCDC595-D460-4544-A7CC-18E2D66A7DC0}" name="Time" dataDxfId="1"/>
    <tableColumn id="4" xr3:uid="{20E62ED2-3E50-4E7D-887E-0F30D1F2A9C1}" name="Route"/>
    <tableColumn id="5" xr3:uid="{662BF384-3A43-4657-B26D-E0701D850B27}" name="Stop"/>
    <tableColumn id="6" xr3:uid="{9B87A36B-0667-4665-8055-F2D028916BD7}" name="Bus_Capacity"/>
    <tableColumn id="7" xr3:uid="{3C1CB6F7-0B67-42C0-9387-6477A603FAE8}" name="Students_Boarded"/>
    <tableColumn id="8" xr3:uid="{B658BAB9-C3A7-45BC-AE54-40CB328D14EA}" name="Students_Dropped"/>
    <tableColumn id="9" xr3:uid="{44FA2E91-42FD-4229-A21D-D81825873315}" name="Distance_KM"/>
    <tableColumn id="10" xr3:uid="{5119BFA8-9DFB-4C74-AD3E-AC67AC3083C7}" name="Boarding_Utilization_%" dataDxfId="0" dataCellStyle="Percent">
      <calculatedColumnFormula>G2/F2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AB0-BC6E-4C08-B1D4-C3E4C8D94EB0}">
  <dimension ref="A3:T51"/>
  <sheetViews>
    <sheetView tabSelected="1" zoomScale="28" workbookViewId="0">
      <selection activeCell="I8" sqref="I8"/>
    </sheetView>
  </sheetViews>
  <sheetFormatPr defaultRowHeight="14.4" x14ac:dyDescent="0.3"/>
  <cols>
    <col min="1" max="1" width="19.6640625" bestFit="1" customWidth="1"/>
    <col min="2" max="2" width="21.21875" bestFit="1" customWidth="1"/>
    <col min="4" max="4" width="19.6640625" bestFit="1" customWidth="1"/>
    <col min="5" max="5" width="21.21875" bestFit="1" customWidth="1"/>
    <col min="7" max="7" width="19.6640625" bestFit="1" customWidth="1"/>
    <col min="8" max="8" width="13.88671875" bestFit="1" customWidth="1"/>
    <col min="9" max="9" width="22.33203125" bestFit="1" customWidth="1"/>
    <col min="10" max="10" width="22.6640625" bestFit="1" customWidth="1"/>
    <col min="11" max="11" width="43.21875" bestFit="1" customWidth="1"/>
    <col min="12" max="12" width="28.5546875" customWidth="1"/>
    <col min="13" max="13" width="19.6640625" bestFit="1" customWidth="1"/>
    <col min="14" max="14" width="33" bestFit="1" customWidth="1"/>
    <col min="15" max="15" width="14.109375" bestFit="1" customWidth="1"/>
    <col min="16" max="16" width="22.6640625" bestFit="1" customWidth="1"/>
    <col min="17" max="17" width="43.21875" bestFit="1" customWidth="1"/>
    <col min="19" max="19" width="19.6640625" bestFit="1" customWidth="1"/>
    <col min="20" max="20" width="33" bestFit="1" customWidth="1"/>
  </cols>
  <sheetData>
    <row r="3" spans="1:16" x14ac:dyDescent="0.3">
      <c r="A3" s="5" t="s">
        <v>64</v>
      </c>
      <c r="B3" t="s">
        <v>66</v>
      </c>
    </row>
    <row r="4" spans="1:16" x14ac:dyDescent="0.3">
      <c r="A4" s="6" t="s">
        <v>7</v>
      </c>
      <c r="B4" s="7">
        <v>708</v>
      </c>
    </row>
    <row r="5" spans="1:16" x14ac:dyDescent="0.3">
      <c r="A5" s="6" t="s">
        <v>8</v>
      </c>
      <c r="B5" s="7">
        <v>684</v>
      </c>
    </row>
    <row r="6" spans="1:16" x14ac:dyDescent="0.3">
      <c r="A6" s="6" t="s">
        <v>9</v>
      </c>
      <c r="B6" s="7">
        <v>759</v>
      </c>
    </row>
    <row r="7" spans="1:16" x14ac:dyDescent="0.3">
      <c r="A7" s="6" t="s">
        <v>10</v>
      </c>
      <c r="B7" s="7">
        <v>513</v>
      </c>
    </row>
    <row r="8" spans="1:16" x14ac:dyDescent="0.3">
      <c r="A8" s="6" t="s">
        <v>65</v>
      </c>
      <c r="B8" s="7">
        <v>2664</v>
      </c>
      <c r="D8" s="5" t="s">
        <v>64</v>
      </c>
      <c r="E8" t="s">
        <v>68</v>
      </c>
      <c r="H8" s="5" t="s">
        <v>64</v>
      </c>
      <c r="I8" t="s">
        <v>78</v>
      </c>
      <c r="L8" s="5" t="s">
        <v>64</v>
      </c>
      <c r="M8" t="s">
        <v>66</v>
      </c>
      <c r="O8" s="5" t="s">
        <v>64</v>
      </c>
      <c r="P8" t="s">
        <v>69</v>
      </c>
    </row>
    <row r="9" spans="1:16" x14ac:dyDescent="0.3">
      <c r="D9" s="6" t="s">
        <v>7</v>
      </c>
      <c r="E9" s="7">
        <v>138</v>
      </c>
      <c r="H9" s="8">
        <v>0.375</v>
      </c>
      <c r="I9" s="9">
        <v>0.571487074829932</v>
      </c>
      <c r="L9" s="8">
        <v>0.375</v>
      </c>
      <c r="M9" s="7">
        <v>168</v>
      </c>
      <c r="O9" s="6" t="s">
        <v>16</v>
      </c>
      <c r="P9" s="7">
        <v>700</v>
      </c>
    </row>
    <row r="10" spans="1:16" x14ac:dyDescent="0.3">
      <c r="D10" s="6" t="s">
        <v>8</v>
      </c>
      <c r="E10" s="7">
        <v>132</v>
      </c>
      <c r="H10" s="8">
        <v>0.41666666666666669</v>
      </c>
      <c r="I10" s="9">
        <v>0.71969387755102054</v>
      </c>
      <c r="L10" s="8">
        <v>0.41666666666666669</v>
      </c>
      <c r="M10" s="7">
        <v>236</v>
      </c>
      <c r="O10" s="6" t="s">
        <v>18</v>
      </c>
      <c r="P10" s="7">
        <v>380</v>
      </c>
    </row>
    <row r="11" spans="1:16" x14ac:dyDescent="0.3">
      <c r="D11" s="6" t="s">
        <v>9</v>
      </c>
      <c r="E11" s="7">
        <v>151</v>
      </c>
      <c r="H11" s="8">
        <v>0.45833333333333331</v>
      </c>
      <c r="I11" s="9">
        <v>0.84663265306122448</v>
      </c>
      <c r="L11" s="8">
        <v>0.45833333333333331</v>
      </c>
      <c r="M11" s="7">
        <v>274</v>
      </c>
      <c r="O11" s="6" t="s">
        <v>17</v>
      </c>
      <c r="P11" s="7">
        <v>540</v>
      </c>
    </row>
    <row r="12" spans="1:16" x14ac:dyDescent="0.3">
      <c r="D12" s="6" t="s">
        <v>10</v>
      </c>
      <c r="E12" s="7">
        <v>98</v>
      </c>
      <c r="H12" s="8">
        <v>0.5</v>
      </c>
      <c r="I12" s="9">
        <v>0.66050068027210884</v>
      </c>
      <c r="L12" s="8">
        <v>0.5</v>
      </c>
      <c r="M12" s="7">
        <v>201</v>
      </c>
      <c r="O12" s="6" t="s">
        <v>19</v>
      </c>
      <c r="P12" s="7">
        <v>613</v>
      </c>
    </row>
    <row r="13" spans="1:16" x14ac:dyDescent="0.3">
      <c r="D13" s="6" t="s">
        <v>65</v>
      </c>
      <c r="E13" s="7">
        <v>519</v>
      </c>
      <c r="H13" s="8">
        <v>0.54166666666666663</v>
      </c>
      <c r="I13" s="9">
        <v>0.37059523809523809</v>
      </c>
      <c r="L13" s="8">
        <v>0.54166666666666663</v>
      </c>
      <c r="M13" s="7">
        <v>127</v>
      </c>
      <c r="O13" s="6" t="s">
        <v>65</v>
      </c>
      <c r="P13" s="7">
        <v>2233</v>
      </c>
    </row>
    <row r="14" spans="1:16" x14ac:dyDescent="0.3">
      <c r="H14" s="8">
        <v>0.58333333333333337</v>
      </c>
      <c r="I14" s="9">
        <v>0.69591632653061219</v>
      </c>
      <c r="L14" s="8">
        <v>0.58333333333333337</v>
      </c>
      <c r="M14" s="7">
        <v>222</v>
      </c>
    </row>
    <row r="15" spans="1:16" x14ac:dyDescent="0.3">
      <c r="H15" s="8">
        <v>0.625</v>
      </c>
      <c r="I15" s="9">
        <v>0.81741292517006803</v>
      </c>
      <c r="L15" s="8">
        <v>0.625</v>
      </c>
      <c r="M15" s="7">
        <v>301</v>
      </c>
    </row>
    <row r="16" spans="1:16" x14ac:dyDescent="0.3">
      <c r="A16" s="5" t="s">
        <v>64</v>
      </c>
      <c r="B16" t="s">
        <v>71</v>
      </c>
      <c r="D16" s="5" t="s">
        <v>64</v>
      </c>
      <c r="E16" t="s">
        <v>72</v>
      </c>
      <c r="H16" s="8">
        <v>0.66666666666666663</v>
      </c>
      <c r="I16" s="9">
        <v>0.90285306122448983</v>
      </c>
      <c r="L16" s="8">
        <v>0.66666666666666663</v>
      </c>
      <c r="M16" s="7">
        <v>344</v>
      </c>
      <c r="O16" s="5" t="s">
        <v>64</v>
      </c>
      <c r="P16" t="s">
        <v>78</v>
      </c>
    </row>
    <row r="17" spans="1:17" x14ac:dyDescent="0.3">
      <c r="A17" s="6" t="s">
        <v>16</v>
      </c>
      <c r="B17" s="7">
        <v>745</v>
      </c>
      <c r="D17" s="6" t="s">
        <v>29</v>
      </c>
      <c r="E17" s="7">
        <v>573</v>
      </c>
      <c r="H17" s="8">
        <v>0.70833333333333337</v>
      </c>
      <c r="I17" s="9">
        <v>0.80916666666666659</v>
      </c>
      <c r="L17" s="8">
        <v>0.70833333333333337</v>
      </c>
      <c r="M17" s="7">
        <v>409</v>
      </c>
      <c r="O17" s="6" t="s">
        <v>7</v>
      </c>
      <c r="P17" s="9">
        <v>0.70322619047619062</v>
      </c>
    </row>
    <row r="18" spans="1:17" x14ac:dyDescent="0.3">
      <c r="A18" s="6" t="s">
        <v>18</v>
      </c>
      <c r="B18" s="7">
        <v>407</v>
      </c>
      <c r="D18" s="6" t="s">
        <v>25</v>
      </c>
      <c r="E18" s="7">
        <v>184</v>
      </c>
      <c r="H18" s="8">
        <v>0.75</v>
      </c>
      <c r="I18" s="9">
        <v>0.54988095238095236</v>
      </c>
      <c r="L18" s="8">
        <v>0.75</v>
      </c>
      <c r="M18" s="7">
        <v>382</v>
      </c>
      <c r="O18" s="6" t="s">
        <v>8</v>
      </c>
      <c r="P18" s="9">
        <v>0.77190000000000014</v>
      </c>
    </row>
    <row r="19" spans="1:17" x14ac:dyDescent="0.3">
      <c r="A19" s="6" t="s">
        <v>17</v>
      </c>
      <c r="B19" s="7">
        <v>575</v>
      </c>
      <c r="D19" s="6" t="s">
        <v>31</v>
      </c>
      <c r="E19" s="7">
        <v>560</v>
      </c>
      <c r="H19" s="8" t="s">
        <v>65</v>
      </c>
      <c r="I19" s="9">
        <v>0.71180405932864954</v>
      </c>
      <c r="L19" s="8" t="s">
        <v>65</v>
      </c>
      <c r="M19" s="7">
        <v>2664</v>
      </c>
      <c r="O19" s="6" t="s">
        <v>9</v>
      </c>
      <c r="P19" s="9">
        <v>0.78111428571428576</v>
      </c>
    </row>
    <row r="20" spans="1:17" x14ac:dyDescent="0.3">
      <c r="A20" s="6" t="s">
        <v>19</v>
      </c>
      <c r="B20" s="7">
        <v>653</v>
      </c>
      <c r="D20" s="6" t="s">
        <v>27</v>
      </c>
      <c r="E20" s="7">
        <v>704</v>
      </c>
      <c r="O20" s="6" t="s">
        <v>10</v>
      </c>
      <c r="P20" s="9">
        <v>0.63141428571428571</v>
      </c>
    </row>
    <row r="21" spans="1:17" x14ac:dyDescent="0.3">
      <c r="A21" s="6" t="s">
        <v>65</v>
      </c>
      <c r="B21" s="7">
        <v>2380</v>
      </c>
      <c r="D21" s="6" t="s">
        <v>65</v>
      </c>
      <c r="E21" s="7">
        <v>2021</v>
      </c>
      <c r="O21" s="6" t="s">
        <v>65</v>
      </c>
      <c r="P21" s="9">
        <v>0.71180405932864943</v>
      </c>
    </row>
    <row r="24" spans="1:17" x14ac:dyDescent="0.3">
      <c r="A24" s="5" t="s">
        <v>64</v>
      </c>
      <c r="B24" t="s">
        <v>72</v>
      </c>
      <c r="D24" s="5" t="s">
        <v>64</v>
      </c>
      <c r="E24" t="s">
        <v>73</v>
      </c>
    </row>
    <row r="25" spans="1:17" x14ac:dyDescent="0.3">
      <c r="A25" s="6" t="s">
        <v>33</v>
      </c>
      <c r="B25" s="7">
        <v>310</v>
      </c>
      <c r="D25" s="6" t="s">
        <v>7</v>
      </c>
      <c r="E25" s="7">
        <v>29130</v>
      </c>
    </row>
    <row r="26" spans="1:17" x14ac:dyDescent="0.3">
      <c r="A26" s="6" t="s">
        <v>36</v>
      </c>
      <c r="B26" s="7">
        <v>202</v>
      </c>
      <c r="D26" s="6" t="s">
        <v>8</v>
      </c>
      <c r="E26" s="7">
        <v>31650</v>
      </c>
    </row>
    <row r="27" spans="1:17" x14ac:dyDescent="0.3">
      <c r="A27" s="6" t="s">
        <v>34</v>
      </c>
      <c r="B27" s="7">
        <v>141</v>
      </c>
      <c r="D27" s="6" t="s">
        <v>9</v>
      </c>
      <c r="E27" s="7">
        <v>35700</v>
      </c>
      <c r="I27" s="5" t="s">
        <v>64</v>
      </c>
      <c r="J27" t="s">
        <v>78</v>
      </c>
      <c r="M27" s="5" t="s">
        <v>64</v>
      </c>
      <c r="N27" t="s">
        <v>67</v>
      </c>
      <c r="P27" s="5" t="s">
        <v>64</v>
      </c>
      <c r="Q27" t="s">
        <v>70</v>
      </c>
    </row>
    <row r="28" spans="1:17" x14ac:dyDescent="0.3">
      <c r="A28" s="6" t="s">
        <v>38</v>
      </c>
      <c r="B28" s="7">
        <v>87</v>
      </c>
      <c r="D28" s="6" t="s">
        <v>10</v>
      </c>
      <c r="E28" s="7">
        <v>25100</v>
      </c>
      <c r="I28" s="6" t="s">
        <v>16</v>
      </c>
      <c r="J28" s="9">
        <v>0.68980740740740731</v>
      </c>
      <c r="M28" s="6" t="s">
        <v>7</v>
      </c>
      <c r="N28" s="7">
        <v>218</v>
      </c>
      <c r="P28" s="6" t="s">
        <v>7</v>
      </c>
      <c r="Q28" s="7">
        <v>36.15</v>
      </c>
    </row>
    <row r="29" spans="1:17" x14ac:dyDescent="0.3">
      <c r="A29" s="6" t="s">
        <v>26</v>
      </c>
      <c r="B29" s="7">
        <v>97</v>
      </c>
      <c r="D29" s="6" t="s">
        <v>65</v>
      </c>
      <c r="E29" s="7">
        <v>121580</v>
      </c>
      <c r="I29" s="6" t="s">
        <v>18</v>
      </c>
      <c r="J29" s="9">
        <v>0.72678571428571437</v>
      </c>
      <c r="M29" s="6" t="s">
        <v>8</v>
      </c>
      <c r="N29" s="7">
        <v>211</v>
      </c>
      <c r="P29" s="6" t="s">
        <v>8</v>
      </c>
      <c r="Q29" s="7">
        <v>40.571428571428569</v>
      </c>
    </row>
    <row r="30" spans="1:17" x14ac:dyDescent="0.3">
      <c r="A30" s="6" t="s">
        <v>37</v>
      </c>
      <c r="B30" s="7">
        <v>189</v>
      </c>
      <c r="I30" s="6" t="s">
        <v>17</v>
      </c>
      <c r="J30" s="9">
        <v>0.71875000000000011</v>
      </c>
      <c r="M30" s="6" t="s">
        <v>9</v>
      </c>
      <c r="N30" s="7">
        <v>236</v>
      </c>
      <c r="P30" s="6" t="s">
        <v>9</v>
      </c>
      <c r="Q30" s="7">
        <v>38.857142857142854</v>
      </c>
    </row>
    <row r="31" spans="1:17" x14ac:dyDescent="0.3">
      <c r="A31" s="6" t="s">
        <v>35</v>
      </c>
      <c r="B31" s="7">
        <v>159</v>
      </c>
      <c r="D31" s="5" t="s">
        <v>64</v>
      </c>
      <c r="E31" t="s">
        <v>74</v>
      </c>
      <c r="I31" s="6" t="s">
        <v>19</v>
      </c>
      <c r="J31" s="9">
        <v>0.7175780219780219</v>
      </c>
      <c r="M31" s="6" t="s">
        <v>10</v>
      </c>
      <c r="N31" s="7">
        <v>157</v>
      </c>
      <c r="P31" s="6" t="s">
        <v>10</v>
      </c>
      <c r="Q31" s="7">
        <v>33</v>
      </c>
    </row>
    <row r="32" spans="1:17" x14ac:dyDescent="0.3">
      <c r="A32" s="6" t="s">
        <v>28</v>
      </c>
      <c r="B32" s="7">
        <v>299</v>
      </c>
      <c r="D32" s="6" t="s">
        <v>7</v>
      </c>
      <c r="E32" s="7">
        <v>420</v>
      </c>
      <c r="I32" s="6" t="s">
        <v>65</v>
      </c>
      <c r="J32" s="9">
        <v>0.71180405932864932</v>
      </c>
      <c r="M32" s="6" t="s">
        <v>65</v>
      </c>
      <c r="N32" s="7">
        <v>822</v>
      </c>
      <c r="P32" s="6" t="s">
        <v>65</v>
      </c>
      <c r="Q32" s="7">
        <v>36.606557377049178</v>
      </c>
    </row>
    <row r="33" spans="1:20" x14ac:dyDescent="0.3">
      <c r="A33" s="6" t="s">
        <v>30</v>
      </c>
      <c r="B33" s="7">
        <v>230</v>
      </c>
      <c r="D33" s="6" t="s">
        <v>8</v>
      </c>
      <c r="E33" s="7">
        <v>462</v>
      </c>
    </row>
    <row r="34" spans="1:20" x14ac:dyDescent="0.3">
      <c r="A34" s="6" t="s">
        <v>39</v>
      </c>
      <c r="B34" s="7">
        <v>57</v>
      </c>
      <c r="D34" s="6" t="s">
        <v>9</v>
      </c>
      <c r="E34" s="7">
        <v>526</v>
      </c>
    </row>
    <row r="35" spans="1:20" x14ac:dyDescent="0.3">
      <c r="A35" s="6" t="s">
        <v>32</v>
      </c>
      <c r="B35" s="7">
        <v>250</v>
      </c>
      <c r="D35" s="6" t="s">
        <v>10</v>
      </c>
      <c r="E35" s="7">
        <v>363</v>
      </c>
    </row>
    <row r="36" spans="1:20" x14ac:dyDescent="0.3">
      <c r="A36" s="6" t="s">
        <v>65</v>
      </c>
      <c r="B36" s="7">
        <v>2021</v>
      </c>
      <c r="D36" s="6" t="s">
        <v>65</v>
      </c>
      <c r="E36" s="7">
        <v>1771</v>
      </c>
    </row>
    <row r="39" spans="1:20" x14ac:dyDescent="0.3">
      <c r="A39" s="5" t="s">
        <v>64</v>
      </c>
      <c r="B39" t="s">
        <v>73</v>
      </c>
      <c r="D39" s="5" t="s">
        <v>64</v>
      </c>
      <c r="E39" t="s">
        <v>73</v>
      </c>
      <c r="G39" s="5" t="s">
        <v>64</v>
      </c>
      <c r="H39" t="s">
        <v>75</v>
      </c>
      <c r="J39" s="5" t="s">
        <v>64</v>
      </c>
      <c r="K39" t="s">
        <v>76</v>
      </c>
      <c r="M39" s="5" t="s">
        <v>64</v>
      </c>
      <c r="N39" t="s">
        <v>76</v>
      </c>
      <c r="P39" s="5" t="s">
        <v>64</v>
      </c>
      <c r="Q39" t="s">
        <v>77</v>
      </c>
      <c r="S39" s="5" t="s">
        <v>64</v>
      </c>
      <c r="T39" t="s">
        <v>76</v>
      </c>
    </row>
    <row r="40" spans="1:20" x14ac:dyDescent="0.3">
      <c r="A40" s="8">
        <v>0.375</v>
      </c>
      <c r="B40" s="7">
        <v>8230</v>
      </c>
      <c r="D40" s="6" t="s">
        <v>33</v>
      </c>
      <c r="E40" s="7">
        <v>37200</v>
      </c>
      <c r="G40" s="6" t="s">
        <v>29</v>
      </c>
      <c r="H40" s="3">
        <v>38.684391440406316</v>
      </c>
      <c r="J40" s="6" t="s">
        <v>46</v>
      </c>
      <c r="K40" s="7">
        <v>346</v>
      </c>
      <c r="M40" s="6" t="s">
        <v>53</v>
      </c>
      <c r="N40" s="7">
        <v>66</v>
      </c>
      <c r="P40" s="6" t="s">
        <v>53</v>
      </c>
      <c r="Q40" s="9">
        <v>0.3666666666666667</v>
      </c>
      <c r="S40" s="6" t="s">
        <v>7</v>
      </c>
      <c r="T40" s="7">
        <v>251</v>
      </c>
    </row>
    <row r="41" spans="1:20" x14ac:dyDescent="0.3">
      <c r="A41" s="8">
        <v>0.41666666666666669</v>
      </c>
      <c r="B41" s="7">
        <v>4880</v>
      </c>
      <c r="D41" s="6" t="s">
        <v>36</v>
      </c>
      <c r="E41" s="7">
        <v>8080</v>
      </c>
      <c r="G41" s="6" t="s">
        <v>25</v>
      </c>
      <c r="H41" s="3">
        <v>53.363395353321124</v>
      </c>
      <c r="J41" s="6" t="s">
        <v>52</v>
      </c>
      <c r="K41" s="7">
        <v>308</v>
      </c>
      <c r="M41" s="6" t="s">
        <v>51</v>
      </c>
      <c r="N41" s="7">
        <v>25</v>
      </c>
      <c r="P41" s="6" t="s">
        <v>51</v>
      </c>
      <c r="Q41" s="9">
        <v>4.6685032139577594E-2</v>
      </c>
      <c r="S41" s="6" t="s">
        <v>8</v>
      </c>
      <c r="T41" s="7">
        <v>275</v>
      </c>
    </row>
    <row r="42" spans="1:20" x14ac:dyDescent="0.3">
      <c r="A42" s="8">
        <v>0.45833333333333331</v>
      </c>
      <c r="B42" s="7">
        <v>6900</v>
      </c>
      <c r="D42" s="6" t="s">
        <v>34</v>
      </c>
      <c r="E42" s="7">
        <v>4230</v>
      </c>
      <c r="G42" s="6" t="s">
        <v>31</v>
      </c>
      <c r="H42" s="3">
        <v>120.36864056378938</v>
      </c>
      <c r="J42" s="6" t="s">
        <v>56</v>
      </c>
      <c r="K42" s="7">
        <v>293</v>
      </c>
      <c r="M42" s="6" t="s">
        <v>50</v>
      </c>
      <c r="N42" s="7">
        <v>37</v>
      </c>
      <c r="P42" s="6" t="s">
        <v>50</v>
      </c>
      <c r="Q42" s="9">
        <v>0.185</v>
      </c>
      <c r="S42" s="6" t="s">
        <v>9</v>
      </c>
      <c r="T42" s="7">
        <v>291</v>
      </c>
    </row>
    <row r="43" spans="1:20" x14ac:dyDescent="0.3">
      <c r="A43" s="8">
        <v>0.5</v>
      </c>
      <c r="B43" s="7">
        <v>25000</v>
      </c>
      <c r="D43" s="6" t="s">
        <v>38</v>
      </c>
      <c r="E43" s="7">
        <v>4350</v>
      </c>
      <c r="G43" s="6" t="s">
        <v>27</v>
      </c>
      <c r="H43" s="3">
        <v>51.744066516217487</v>
      </c>
      <c r="J43" s="6" t="s">
        <v>65</v>
      </c>
      <c r="K43" s="7">
        <v>947</v>
      </c>
      <c r="M43" s="6" t="s">
        <v>58</v>
      </c>
      <c r="N43" s="7">
        <v>24</v>
      </c>
      <c r="P43" s="6" t="s">
        <v>58</v>
      </c>
      <c r="Q43" s="9">
        <v>0.14545454545454545</v>
      </c>
      <c r="S43" s="6" t="s">
        <v>10</v>
      </c>
      <c r="T43" s="7">
        <v>130</v>
      </c>
    </row>
    <row r="44" spans="1:20" x14ac:dyDescent="0.3">
      <c r="A44" s="8">
        <v>0.54166666666666663</v>
      </c>
      <c r="B44" s="7">
        <v>37200</v>
      </c>
      <c r="D44" s="6" t="s">
        <v>26</v>
      </c>
      <c r="E44" s="7">
        <v>3880</v>
      </c>
      <c r="G44" s="6" t="s">
        <v>65</v>
      </c>
      <c r="H44" s="3">
        <v>61.713011686698884</v>
      </c>
      <c r="M44" s="6" t="s">
        <v>54</v>
      </c>
      <c r="N44" s="7">
        <v>45</v>
      </c>
      <c r="P44" s="6" t="s">
        <v>54</v>
      </c>
      <c r="Q44" s="9">
        <v>0.25</v>
      </c>
      <c r="S44" s="6" t="s">
        <v>65</v>
      </c>
      <c r="T44" s="7">
        <v>947</v>
      </c>
    </row>
    <row r="45" spans="1:20" x14ac:dyDescent="0.3">
      <c r="A45" s="8">
        <v>0.58333333333333337</v>
      </c>
      <c r="B45" s="7">
        <v>4230</v>
      </c>
      <c r="D45" s="6" t="s">
        <v>37</v>
      </c>
      <c r="E45" s="7">
        <v>11340</v>
      </c>
      <c r="J45" s="5" t="s">
        <v>64</v>
      </c>
      <c r="K45" t="s">
        <v>77</v>
      </c>
      <c r="M45" s="6" t="s">
        <v>47</v>
      </c>
      <c r="N45" s="7">
        <v>475</v>
      </c>
      <c r="P45" s="6" t="s">
        <v>47</v>
      </c>
      <c r="Q45" s="9">
        <v>0.86978879706152423</v>
      </c>
    </row>
    <row r="46" spans="1:20" x14ac:dyDescent="0.3">
      <c r="A46" s="8">
        <v>0.625</v>
      </c>
      <c r="B46" s="7">
        <v>6360</v>
      </c>
      <c r="D46" s="6" t="s">
        <v>35</v>
      </c>
      <c r="E46" s="7">
        <v>6360</v>
      </c>
      <c r="G46" s="5" t="s">
        <v>64</v>
      </c>
      <c r="H46" t="s">
        <v>72</v>
      </c>
      <c r="J46" s="6" t="s">
        <v>46</v>
      </c>
      <c r="K46" s="9">
        <v>0.34599999999999997</v>
      </c>
      <c r="M46" s="6" t="s">
        <v>49</v>
      </c>
      <c r="N46" s="7">
        <v>125</v>
      </c>
      <c r="P46" s="6" t="s">
        <v>49</v>
      </c>
      <c r="Q46" s="9">
        <v>0.33948051948051955</v>
      </c>
    </row>
    <row r="47" spans="1:20" x14ac:dyDescent="0.3">
      <c r="A47" s="8">
        <v>0.66666666666666663</v>
      </c>
      <c r="B47" s="7">
        <v>8080</v>
      </c>
      <c r="D47" s="6" t="s">
        <v>28</v>
      </c>
      <c r="E47" s="7">
        <v>11960</v>
      </c>
      <c r="G47" s="6" t="s">
        <v>7</v>
      </c>
      <c r="H47" s="7">
        <v>478</v>
      </c>
      <c r="J47" s="6" t="s">
        <v>52</v>
      </c>
      <c r="K47" s="9">
        <v>0.34222222222222226</v>
      </c>
      <c r="M47" s="6" t="s">
        <v>48</v>
      </c>
      <c r="N47" s="7">
        <v>74</v>
      </c>
      <c r="P47" s="6" t="s">
        <v>48</v>
      </c>
      <c r="Q47" s="9">
        <v>0.37</v>
      </c>
    </row>
    <row r="48" spans="1:20" x14ac:dyDescent="0.3">
      <c r="A48" s="8">
        <v>0.70833333333333337</v>
      </c>
      <c r="B48" s="7">
        <v>9360</v>
      </c>
      <c r="D48" s="6" t="s">
        <v>30</v>
      </c>
      <c r="E48" s="7">
        <v>6900</v>
      </c>
      <c r="G48" s="6" t="s">
        <v>8</v>
      </c>
      <c r="H48" s="7">
        <v>527</v>
      </c>
      <c r="J48" s="6" t="s">
        <v>56</v>
      </c>
      <c r="K48" s="9">
        <v>0.35515151515151516</v>
      </c>
      <c r="M48" s="6" t="s">
        <v>57</v>
      </c>
      <c r="N48" s="7">
        <v>44</v>
      </c>
      <c r="P48" s="6" t="s">
        <v>57</v>
      </c>
      <c r="Q48" s="9">
        <v>0.26666666666666666</v>
      </c>
    </row>
    <row r="49" spans="1:17" x14ac:dyDescent="0.3">
      <c r="A49" s="8">
        <v>0.75</v>
      </c>
      <c r="B49" s="7">
        <v>11340</v>
      </c>
      <c r="D49" s="6" t="s">
        <v>39</v>
      </c>
      <c r="E49" s="7">
        <v>2280</v>
      </c>
      <c r="G49" s="6" t="s">
        <v>9</v>
      </c>
      <c r="H49" s="7">
        <v>602</v>
      </c>
      <c r="J49" s="6" t="s">
        <v>65</v>
      </c>
      <c r="K49" s="9">
        <v>0.34712213039485762</v>
      </c>
      <c r="M49" s="6" t="s">
        <v>55</v>
      </c>
      <c r="N49" s="7">
        <v>32</v>
      </c>
      <c r="P49" s="6" t="s">
        <v>55</v>
      </c>
      <c r="Q49" s="9">
        <v>0.17777777777777776</v>
      </c>
    </row>
    <row r="50" spans="1:17" x14ac:dyDescent="0.3">
      <c r="A50" s="8" t="s">
        <v>65</v>
      </c>
      <c r="B50" s="7">
        <v>121580</v>
      </c>
      <c r="D50" s="6" t="s">
        <v>32</v>
      </c>
      <c r="E50" s="7">
        <v>25000</v>
      </c>
      <c r="G50" s="6" t="s">
        <v>10</v>
      </c>
      <c r="H50" s="7">
        <v>414</v>
      </c>
      <c r="M50" s="6" t="s">
        <v>65</v>
      </c>
      <c r="N50" s="7">
        <v>947</v>
      </c>
      <c r="P50" s="6" t="s">
        <v>65</v>
      </c>
      <c r="Q50" s="9">
        <v>0.34712213039485762</v>
      </c>
    </row>
    <row r="51" spans="1:17" x14ac:dyDescent="0.3">
      <c r="D51" s="6" t="s">
        <v>65</v>
      </c>
      <c r="E51" s="7">
        <v>121580</v>
      </c>
      <c r="G51" s="6" t="s">
        <v>65</v>
      </c>
      <c r="H51" s="7">
        <v>2021</v>
      </c>
    </row>
  </sheetData>
  <pageMargins left="0.7" right="0.7" top="0.75" bottom="0.75" header="0.3" footer="0.3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4BD2-A2FF-443C-A9A9-B45661EFF5AF}">
  <dimension ref="A1:I41"/>
  <sheetViews>
    <sheetView zoomScale="70" workbookViewId="0">
      <selection activeCell="E16" sqref="E16"/>
    </sheetView>
  </sheetViews>
  <sheetFormatPr defaultRowHeight="14.4" x14ac:dyDescent="0.3"/>
  <cols>
    <col min="1" max="9" width="15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</v>
      </c>
      <c r="I1" t="s">
        <v>60</v>
      </c>
    </row>
    <row r="2" spans="1:9" x14ac:dyDescent="0.3">
      <c r="A2" s="1">
        <v>46204</v>
      </c>
      <c r="B2" t="s">
        <v>7</v>
      </c>
      <c r="C2" s="2">
        <v>0.375</v>
      </c>
      <c r="D2">
        <v>32</v>
      </c>
      <c r="E2">
        <v>18</v>
      </c>
      <c r="F2">
        <v>14</v>
      </c>
      <c r="G2">
        <v>7</v>
      </c>
      <c r="H2">
        <f t="shared" ref="H2:H41" si="0">D2+F2</f>
        <v>46</v>
      </c>
      <c r="I2">
        <f t="shared" ref="I2:I41" si="1">D2-E2</f>
        <v>14</v>
      </c>
    </row>
    <row r="3" spans="1:9" x14ac:dyDescent="0.3">
      <c r="A3" s="1">
        <v>46205</v>
      </c>
      <c r="B3" t="s">
        <v>7</v>
      </c>
      <c r="C3" s="2">
        <v>0.41666666666666669</v>
      </c>
      <c r="D3">
        <v>45</v>
      </c>
      <c r="E3">
        <v>21</v>
      </c>
      <c r="F3">
        <v>19</v>
      </c>
      <c r="G3">
        <v>11</v>
      </c>
      <c r="H3">
        <f t="shared" si="0"/>
        <v>64</v>
      </c>
      <c r="I3">
        <f t="shared" si="1"/>
        <v>24</v>
      </c>
    </row>
    <row r="4" spans="1:9" x14ac:dyDescent="0.3">
      <c r="A4" s="1">
        <v>46206</v>
      </c>
      <c r="B4" t="s">
        <v>7</v>
      </c>
      <c r="C4" s="2">
        <v>0.45833333333333331</v>
      </c>
      <c r="D4">
        <v>51</v>
      </c>
      <c r="E4">
        <v>26</v>
      </c>
      <c r="F4">
        <v>22</v>
      </c>
      <c r="G4">
        <v>13</v>
      </c>
      <c r="H4">
        <f t="shared" si="0"/>
        <v>73</v>
      </c>
      <c r="I4">
        <f t="shared" si="1"/>
        <v>25</v>
      </c>
    </row>
    <row r="5" spans="1:9" x14ac:dyDescent="0.3">
      <c r="A5" s="1">
        <v>46209</v>
      </c>
      <c r="B5" t="s">
        <v>7</v>
      </c>
      <c r="C5" s="2">
        <v>0.5</v>
      </c>
      <c r="D5">
        <v>38</v>
      </c>
      <c r="E5">
        <v>31</v>
      </c>
      <c r="F5">
        <v>16</v>
      </c>
      <c r="G5">
        <v>9</v>
      </c>
      <c r="H5">
        <f t="shared" si="0"/>
        <v>54</v>
      </c>
      <c r="I5">
        <f t="shared" si="1"/>
        <v>7</v>
      </c>
    </row>
    <row r="6" spans="1:9" x14ac:dyDescent="0.3">
      <c r="A6" s="1">
        <v>46210</v>
      </c>
      <c r="B6" t="s">
        <v>7</v>
      </c>
      <c r="C6" s="2">
        <v>0.54166666666666663</v>
      </c>
      <c r="D6">
        <v>24</v>
      </c>
      <c r="E6">
        <v>29</v>
      </c>
      <c r="F6">
        <v>10</v>
      </c>
      <c r="G6">
        <v>8</v>
      </c>
      <c r="H6">
        <f t="shared" si="0"/>
        <v>34</v>
      </c>
      <c r="I6">
        <f t="shared" si="1"/>
        <v>-5</v>
      </c>
    </row>
    <row r="7" spans="1:9" x14ac:dyDescent="0.3">
      <c r="A7" s="1">
        <v>46211</v>
      </c>
      <c r="B7" t="s">
        <v>7</v>
      </c>
      <c r="C7" s="2">
        <v>0.58333333333333337</v>
      </c>
      <c r="D7">
        <v>42</v>
      </c>
      <c r="E7">
        <v>25</v>
      </c>
      <c r="F7">
        <v>18</v>
      </c>
      <c r="G7">
        <v>12</v>
      </c>
      <c r="H7">
        <f t="shared" si="0"/>
        <v>60</v>
      </c>
      <c r="I7">
        <f t="shared" si="1"/>
        <v>17</v>
      </c>
    </row>
    <row r="8" spans="1:9" x14ac:dyDescent="0.3">
      <c r="A8" s="1">
        <v>46212</v>
      </c>
      <c r="B8" t="s">
        <v>7</v>
      </c>
      <c r="C8" s="2">
        <v>0.625</v>
      </c>
      <c r="D8">
        <v>56</v>
      </c>
      <c r="E8">
        <v>34</v>
      </c>
      <c r="F8">
        <v>25</v>
      </c>
      <c r="G8">
        <v>15</v>
      </c>
      <c r="H8">
        <f t="shared" si="0"/>
        <v>81</v>
      </c>
      <c r="I8">
        <f t="shared" si="1"/>
        <v>22</v>
      </c>
    </row>
    <row r="9" spans="1:9" x14ac:dyDescent="0.3">
      <c r="A9" s="1">
        <v>46213</v>
      </c>
      <c r="B9" t="s">
        <v>7</v>
      </c>
      <c r="C9" s="2">
        <v>0.66666666666666663</v>
      </c>
      <c r="D9">
        <v>63</v>
      </c>
      <c r="E9">
        <v>41</v>
      </c>
      <c r="F9">
        <v>29</v>
      </c>
      <c r="G9">
        <v>18</v>
      </c>
      <c r="H9">
        <f t="shared" si="0"/>
        <v>92</v>
      </c>
      <c r="I9">
        <f t="shared" si="1"/>
        <v>22</v>
      </c>
    </row>
    <row r="10" spans="1:9" x14ac:dyDescent="0.3">
      <c r="A10" s="1">
        <v>46216</v>
      </c>
      <c r="B10" t="s">
        <v>7</v>
      </c>
      <c r="C10" s="2">
        <v>0.70833333333333337</v>
      </c>
      <c r="D10">
        <v>71</v>
      </c>
      <c r="E10">
        <v>48</v>
      </c>
      <c r="F10">
        <v>34</v>
      </c>
      <c r="G10">
        <v>21</v>
      </c>
      <c r="H10">
        <f t="shared" si="0"/>
        <v>105</v>
      </c>
      <c r="I10">
        <f t="shared" si="1"/>
        <v>23</v>
      </c>
    </row>
    <row r="11" spans="1:9" x14ac:dyDescent="0.3">
      <c r="A11" s="1">
        <v>46217</v>
      </c>
      <c r="B11" t="s">
        <v>7</v>
      </c>
      <c r="C11" s="2">
        <v>0.75</v>
      </c>
      <c r="D11">
        <v>68</v>
      </c>
      <c r="E11">
        <v>55</v>
      </c>
      <c r="F11">
        <v>31</v>
      </c>
      <c r="G11">
        <v>24</v>
      </c>
      <c r="H11">
        <f t="shared" si="0"/>
        <v>99</v>
      </c>
      <c r="I11">
        <f t="shared" si="1"/>
        <v>13</v>
      </c>
    </row>
    <row r="12" spans="1:9" x14ac:dyDescent="0.3">
      <c r="A12" s="1">
        <v>46218</v>
      </c>
      <c r="B12" t="s">
        <v>8</v>
      </c>
      <c r="C12" s="2">
        <v>0.375</v>
      </c>
      <c r="D12">
        <v>29</v>
      </c>
      <c r="E12">
        <v>16</v>
      </c>
      <c r="F12">
        <v>12</v>
      </c>
      <c r="G12">
        <v>6</v>
      </c>
      <c r="H12">
        <f t="shared" si="0"/>
        <v>41</v>
      </c>
      <c r="I12">
        <f t="shared" si="1"/>
        <v>13</v>
      </c>
    </row>
    <row r="13" spans="1:9" x14ac:dyDescent="0.3">
      <c r="A13" s="1">
        <v>46219</v>
      </c>
      <c r="B13" t="s">
        <v>8</v>
      </c>
      <c r="C13" s="2">
        <v>0.41666666666666669</v>
      </c>
      <c r="D13">
        <v>43</v>
      </c>
      <c r="E13">
        <v>20</v>
      </c>
      <c r="F13">
        <v>18</v>
      </c>
      <c r="G13">
        <v>10</v>
      </c>
      <c r="H13">
        <f t="shared" si="0"/>
        <v>61</v>
      </c>
      <c r="I13">
        <f t="shared" si="1"/>
        <v>23</v>
      </c>
    </row>
    <row r="14" spans="1:9" x14ac:dyDescent="0.3">
      <c r="A14" s="1">
        <v>46220</v>
      </c>
      <c r="B14" t="s">
        <v>8</v>
      </c>
      <c r="C14" s="2">
        <v>0.45833333333333331</v>
      </c>
      <c r="D14">
        <v>48</v>
      </c>
      <c r="E14">
        <v>24</v>
      </c>
      <c r="F14">
        <v>21</v>
      </c>
      <c r="G14">
        <v>12</v>
      </c>
      <c r="H14">
        <f t="shared" si="0"/>
        <v>69</v>
      </c>
      <c r="I14">
        <f t="shared" si="1"/>
        <v>24</v>
      </c>
    </row>
    <row r="15" spans="1:9" x14ac:dyDescent="0.3">
      <c r="A15" s="1">
        <v>46223</v>
      </c>
      <c r="B15" t="s">
        <v>8</v>
      </c>
      <c r="C15" s="2">
        <v>0.5</v>
      </c>
      <c r="D15">
        <v>35</v>
      </c>
      <c r="E15">
        <v>28</v>
      </c>
      <c r="F15">
        <v>14</v>
      </c>
      <c r="G15">
        <v>8</v>
      </c>
      <c r="H15">
        <f t="shared" si="0"/>
        <v>49</v>
      </c>
      <c r="I15">
        <f t="shared" si="1"/>
        <v>7</v>
      </c>
    </row>
    <row r="16" spans="1:9" x14ac:dyDescent="0.3">
      <c r="A16" s="1">
        <v>46224</v>
      </c>
      <c r="B16" t="s">
        <v>8</v>
      </c>
      <c r="C16" s="2">
        <v>0.54166666666666663</v>
      </c>
      <c r="D16">
        <v>22</v>
      </c>
      <c r="E16">
        <v>26</v>
      </c>
      <c r="F16">
        <v>9</v>
      </c>
      <c r="G16">
        <v>7</v>
      </c>
      <c r="H16">
        <f t="shared" si="0"/>
        <v>31</v>
      </c>
      <c r="I16">
        <f t="shared" si="1"/>
        <v>-4</v>
      </c>
    </row>
    <row r="17" spans="1:9" x14ac:dyDescent="0.3">
      <c r="A17" s="1">
        <v>46225</v>
      </c>
      <c r="B17" t="s">
        <v>8</v>
      </c>
      <c r="C17" s="2">
        <v>0.58333333333333337</v>
      </c>
      <c r="D17">
        <v>39</v>
      </c>
      <c r="E17">
        <v>23</v>
      </c>
      <c r="F17">
        <v>17</v>
      </c>
      <c r="G17">
        <v>11</v>
      </c>
      <c r="H17">
        <f t="shared" si="0"/>
        <v>56</v>
      </c>
      <c r="I17">
        <f t="shared" si="1"/>
        <v>16</v>
      </c>
    </row>
    <row r="18" spans="1:9" x14ac:dyDescent="0.3">
      <c r="A18" s="1">
        <v>46226</v>
      </c>
      <c r="B18" t="s">
        <v>8</v>
      </c>
      <c r="C18" s="2">
        <v>0.625</v>
      </c>
      <c r="D18">
        <v>52</v>
      </c>
      <c r="E18">
        <v>32</v>
      </c>
      <c r="F18">
        <v>23</v>
      </c>
      <c r="G18">
        <v>14</v>
      </c>
      <c r="H18">
        <f t="shared" si="0"/>
        <v>75</v>
      </c>
      <c r="I18">
        <f t="shared" si="1"/>
        <v>20</v>
      </c>
    </row>
    <row r="19" spans="1:9" x14ac:dyDescent="0.3">
      <c r="A19" s="1">
        <v>46227</v>
      </c>
      <c r="B19" t="s">
        <v>8</v>
      </c>
      <c r="C19" s="2">
        <v>0.66666666666666663</v>
      </c>
      <c r="D19">
        <v>61</v>
      </c>
      <c r="E19">
        <v>39</v>
      </c>
      <c r="F19">
        <v>28</v>
      </c>
      <c r="G19">
        <v>17</v>
      </c>
      <c r="H19">
        <f t="shared" si="0"/>
        <v>89</v>
      </c>
      <c r="I19">
        <f t="shared" si="1"/>
        <v>22</v>
      </c>
    </row>
    <row r="20" spans="1:9" x14ac:dyDescent="0.3">
      <c r="A20" s="1">
        <v>46230</v>
      </c>
      <c r="B20" t="s">
        <v>8</v>
      </c>
      <c r="C20" s="2">
        <v>0.70833333333333337</v>
      </c>
      <c r="D20">
        <v>74</v>
      </c>
      <c r="E20">
        <v>45</v>
      </c>
      <c r="F20">
        <v>36</v>
      </c>
      <c r="G20">
        <v>22</v>
      </c>
      <c r="H20">
        <f t="shared" si="0"/>
        <v>110</v>
      </c>
      <c r="I20">
        <f t="shared" si="1"/>
        <v>29</v>
      </c>
    </row>
    <row r="21" spans="1:9" x14ac:dyDescent="0.3">
      <c r="A21" s="1">
        <v>46231</v>
      </c>
      <c r="B21" t="s">
        <v>8</v>
      </c>
      <c r="C21" s="2">
        <v>0.75</v>
      </c>
      <c r="D21">
        <v>70</v>
      </c>
      <c r="E21">
        <v>53</v>
      </c>
      <c r="F21">
        <v>33</v>
      </c>
      <c r="G21">
        <v>25</v>
      </c>
      <c r="H21">
        <f t="shared" si="0"/>
        <v>103</v>
      </c>
      <c r="I21">
        <f t="shared" si="1"/>
        <v>17</v>
      </c>
    </row>
    <row r="22" spans="1:9" x14ac:dyDescent="0.3">
      <c r="A22" s="1">
        <v>46232</v>
      </c>
      <c r="B22" t="s">
        <v>9</v>
      </c>
      <c r="C22" s="2">
        <v>0.375</v>
      </c>
      <c r="D22">
        <v>35</v>
      </c>
      <c r="E22">
        <v>19</v>
      </c>
      <c r="F22">
        <v>15</v>
      </c>
      <c r="G22">
        <v>8</v>
      </c>
      <c r="H22">
        <f t="shared" si="0"/>
        <v>50</v>
      </c>
      <c r="I22">
        <f t="shared" si="1"/>
        <v>16</v>
      </c>
    </row>
    <row r="23" spans="1:9" x14ac:dyDescent="0.3">
      <c r="A23" s="1">
        <v>46233</v>
      </c>
      <c r="B23" t="s">
        <v>9</v>
      </c>
      <c r="C23" s="2">
        <v>0.41666666666666669</v>
      </c>
      <c r="D23">
        <v>47</v>
      </c>
      <c r="E23">
        <v>23</v>
      </c>
      <c r="F23">
        <v>20</v>
      </c>
      <c r="G23">
        <v>12</v>
      </c>
      <c r="H23">
        <f t="shared" si="0"/>
        <v>67</v>
      </c>
      <c r="I23">
        <f t="shared" si="1"/>
        <v>24</v>
      </c>
    </row>
    <row r="24" spans="1:9" x14ac:dyDescent="0.3">
      <c r="A24" s="1">
        <v>46234</v>
      </c>
      <c r="B24" t="s">
        <v>9</v>
      </c>
      <c r="C24" s="2">
        <v>0.45833333333333331</v>
      </c>
      <c r="D24">
        <v>55</v>
      </c>
      <c r="E24">
        <v>29</v>
      </c>
      <c r="F24">
        <v>24</v>
      </c>
      <c r="G24">
        <v>14</v>
      </c>
      <c r="H24">
        <f t="shared" si="0"/>
        <v>79</v>
      </c>
      <c r="I24">
        <f t="shared" si="1"/>
        <v>26</v>
      </c>
    </row>
    <row r="25" spans="1:9" x14ac:dyDescent="0.3">
      <c r="A25" s="1">
        <v>46237</v>
      </c>
      <c r="B25" t="s">
        <v>9</v>
      </c>
      <c r="C25" s="2">
        <v>0.5</v>
      </c>
      <c r="D25">
        <v>40</v>
      </c>
      <c r="E25">
        <v>33</v>
      </c>
      <c r="F25">
        <v>17</v>
      </c>
      <c r="G25">
        <v>10</v>
      </c>
      <c r="H25">
        <f t="shared" si="0"/>
        <v>57</v>
      </c>
      <c r="I25">
        <f t="shared" si="1"/>
        <v>7</v>
      </c>
    </row>
    <row r="26" spans="1:9" x14ac:dyDescent="0.3">
      <c r="A26" s="1">
        <v>46238</v>
      </c>
      <c r="B26" t="s">
        <v>9</v>
      </c>
      <c r="C26" s="2">
        <v>0.54166666666666663</v>
      </c>
      <c r="D26">
        <v>26</v>
      </c>
      <c r="E26">
        <v>30</v>
      </c>
      <c r="F26">
        <v>11</v>
      </c>
      <c r="G26">
        <v>8</v>
      </c>
      <c r="H26">
        <f t="shared" si="0"/>
        <v>37</v>
      </c>
      <c r="I26">
        <f t="shared" si="1"/>
        <v>-4</v>
      </c>
    </row>
    <row r="27" spans="1:9" x14ac:dyDescent="0.3">
      <c r="A27" s="1">
        <v>46239</v>
      </c>
      <c r="B27" t="s">
        <v>9</v>
      </c>
      <c r="C27" s="2">
        <v>0.58333333333333337</v>
      </c>
      <c r="D27">
        <v>44</v>
      </c>
      <c r="E27">
        <v>27</v>
      </c>
      <c r="F27">
        <v>19</v>
      </c>
      <c r="G27">
        <v>13</v>
      </c>
      <c r="H27">
        <f t="shared" si="0"/>
        <v>63</v>
      </c>
      <c r="I27">
        <f t="shared" si="1"/>
        <v>17</v>
      </c>
    </row>
    <row r="28" spans="1:9" x14ac:dyDescent="0.3">
      <c r="A28" s="1">
        <v>46240</v>
      </c>
      <c r="B28" t="s">
        <v>9</v>
      </c>
      <c r="C28" s="2">
        <v>0.625</v>
      </c>
      <c r="D28">
        <v>59</v>
      </c>
      <c r="E28">
        <v>36</v>
      </c>
      <c r="F28">
        <v>27</v>
      </c>
      <c r="G28">
        <v>16</v>
      </c>
      <c r="H28">
        <f t="shared" si="0"/>
        <v>86</v>
      </c>
      <c r="I28">
        <f t="shared" si="1"/>
        <v>23</v>
      </c>
    </row>
    <row r="29" spans="1:9" x14ac:dyDescent="0.3">
      <c r="A29" s="1">
        <v>46241</v>
      </c>
      <c r="B29" t="s">
        <v>9</v>
      </c>
      <c r="C29" s="2">
        <v>0.66666666666666663</v>
      </c>
      <c r="D29">
        <v>66</v>
      </c>
      <c r="E29">
        <v>43</v>
      </c>
      <c r="F29">
        <v>30</v>
      </c>
      <c r="G29">
        <v>19</v>
      </c>
      <c r="H29">
        <f t="shared" si="0"/>
        <v>96</v>
      </c>
      <c r="I29">
        <f t="shared" si="1"/>
        <v>23</v>
      </c>
    </row>
    <row r="30" spans="1:9" x14ac:dyDescent="0.3">
      <c r="A30" s="1">
        <v>46244</v>
      </c>
      <c r="B30" t="s">
        <v>9</v>
      </c>
      <c r="C30" s="2">
        <v>0.70833333333333337</v>
      </c>
      <c r="D30">
        <v>78</v>
      </c>
      <c r="E30">
        <v>51</v>
      </c>
      <c r="F30">
        <v>38</v>
      </c>
      <c r="G30">
        <v>24</v>
      </c>
      <c r="H30">
        <f t="shared" si="0"/>
        <v>116</v>
      </c>
      <c r="I30">
        <f t="shared" si="1"/>
        <v>27</v>
      </c>
    </row>
    <row r="31" spans="1:9" x14ac:dyDescent="0.3">
      <c r="A31" s="1">
        <v>46245</v>
      </c>
      <c r="B31" t="s">
        <v>9</v>
      </c>
      <c r="C31" s="2">
        <v>0.75</v>
      </c>
      <c r="D31">
        <v>73</v>
      </c>
      <c r="E31">
        <v>58</v>
      </c>
      <c r="F31">
        <v>35</v>
      </c>
      <c r="G31">
        <v>27</v>
      </c>
      <c r="H31">
        <f t="shared" si="0"/>
        <v>108</v>
      </c>
      <c r="I31">
        <f t="shared" si="1"/>
        <v>15</v>
      </c>
    </row>
    <row r="32" spans="1:9" x14ac:dyDescent="0.3">
      <c r="A32" s="1">
        <v>46246</v>
      </c>
      <c r="B32" t="s">
        <v>10</v>
      </c>
      <c r="C32" s="2">
        <v>0.375</v>
      </c>
      <c r="D32">
        <v>22</v>
      </c>
      <c r="E32">
        <v>12</v>
      </c>
      <c r="F32">
        <v>9</v>
      </c>
      <c r="G32">
        <v>5</v>
      </c>
      <c r="H32">
        <f t="shared" si="0"/>
        <v>31</v>
      </c>
      <c r="I32">
        <f t="shared" si="1"/>
        <v>10</v>
      </c>
    </row>
    <row r="33" spans="1:9" x14ac:dyDescent="0.3">
      <c r="A33" s="1">
        <v>46247</v>
      </c>
      <c r="B33" t="s">
        <v>10</v>
      </c>
      <c r="C33" s="2">
        <v>0.41666666666666669</v>
      </c>
      <c r="D33">
        <v>31</v>
      </c>
      <c r="E33">
        <v>15</v>
      </c>
      <c r="F33">
        <v>13</v>
      </c>
      <c r="G33">
        <v>7</v>
      </c>
      <c r="H33">
        <f t="shared" si="0"/>
        <v>44</v>
      </c>
      <c r="I33">
        <f t="shared" si="1"/>
        <v>16</v>
      </c>
    </row>
    <row r="34" spans="1:9" x14ac:dyDescent="0.3">
      <c r="A34" s="1">
        <v>46248</v>
      </c>
      <c r="B34" t="s">
        <v>10</v>
      </c>
      <c r="C34" s="2">
        <v>0.45833333333333331</v>
      </c>
      <c r="D34">
        <v>37</v>
      </c>
      <c r="E34">
        <v>19</v>
      </c>
      <c r="F34">
        <v>16</v>
      </c>
      <c r="G34">
        <v>9</v>
      </c>
      <c r="H34">
        <f t="shared" si="0"/>
        <v>53</v>
      </c>
      <c r="I34">
        <f t="shared" si="1"/>
        <v>18</v>
      </c>
    </row>
    <row r="35" spans="1:9" x14ac:dyDescent="0.3">
      <c r="A35" s="1">
        <v>46251</v>
      </c>
      <c r="B35" t="s">
        <v>10</v>
      </c>
      <c r="C35" s="2">
        <v>0.5</v>
      </c>
      <c r="D35">
        <v>29</v>
      </c>
      <c r="E35">
        <v>23</v>
      </c>
      <c r="F35">
        <v>12</v>
      </c>
      <c r="G35">
        <v>7</v>
      </c>
      <c r="H35">
        <f t="shared" si="0"/>
        <v>41</v>
      </c>
      <c r="I35">
        <f t="shared" si="1"/>
        <v>6</v>
      </c>
    </row>
    <row r="36" spans="1:9" x14ac:dyDescent="0.3">
      <c r="A36" s="1">
        <v>46252</v>
      </c>
      <c r="B36" t="s">
        <v>10</v>
      </c>
      <c r="C36" s="2">
        <v>0.54166666666666663</v>
      </c>
      <c r="D36">
        <v>18</v>
      </c>
      <c r="E36">
        <v>21</v>
      </c>
      <c r="F36">
        <v>7</v>
      </c>
      <c r="G36">
        <v>5</v>
      </c>
      <c r="H36">
        <f t="shared" si="0"/>
        <v>25</v>
      </c>
      <c r="I36">
        <f t="shared" si="1"/>
        <v>-3</v>
      </c>
    </row>
    <row r="37" spans="1:9" x14ac:dyDescent="0.3">
      <c r="A37" s="1">
        <v>46253</v>
      </c>
      <c r="B37" t="s">
        <v>10</v>
      </c>
      <c r="C37" s="2">
        <v>0.58333333333333337</v>
      </c>
      <c r="D37">
        <v>30</v>
      </c>
      <c r="E37">
        <v>18</v>
      </c>
      <c r="F37">
        <v>13</v>
      </c>
      <c r="G37">
        <v>8</v>
      </c>
      <c r="H37">
        <f t="shared" si="0"/>
        <v>43</v>
      </c>
      <c r="I37">
        <f t="shared" si="1"/>
        <v>12</v>
      </c>
    </row>
    <row r="38" spans="1:9" x14ac:dyDescent="0.3">
      <c r="A38" s="1">
        <v>46254</v>
      </c>
      <c r="B38" t="s">
        <v>10</v>
      </c>
      <c r="C38" s="2">
        <v>0.625</v>
      </c>
      <c r="D38">
        <v>41</v>
      </c>
      <c r="E38">
        <v>25</v>
      </c>
      <c r="F38">
        <v>18</v>
      </c>
      <c r="G38">
        <v>10</v>
      </c>
      <c r="H38">
        <f t="shared" si="0"/>
        <v>59</v>
      </c>
      <c r="I38">
        <f t="shared" si="1"/>
        <v>16</v>
      </c>
    </row>
    <row r="39" spans="1:9" x14ac:dyDescent="0.3">
      <c r="A39" s="1">
        <v>46255</v>
      </c>
      <c r="B39" t="s">
        <v>10</v>
      </c>
      <c r="C39" s="2">
        <v>0.66666666666666663</v>
      </c>
      <c r="D39">
        <v>46</v>
      </c>
      <c r="E39">
        <v>31</v>
      </c>
      <c r="F39">
        <v>21</v>
      </c>
      <c r="G39">
        <v>13</v>
      </c>
      <c r="H39">
        <f t="shared" si="0"/>
        <v>67</v>
      </c>
      <c r="I39">
        <f t="shared" si="1"/>
        <v>15</v>
      </c>
    </row>
    <row r="40" spans="1:9" x14ac:dyDescent="0.3">
      <c r="A40" s="1">
        <v>46258</v>
      </c>
      <c r="B40" t="s">
        <v>10</v>
      </c>
      <c r="C40" s="2">
        <v>0.70833333333333337</v>
      </c>
      <c r="D40">
        <v>53</v>
      </c>
      <c r="E40">
        <v>37</v>
      </c>
      <c r="F40">
        <v>25</v>
      </c>
      <c r="G40">
        <v>16</v>
      </c>
      <c r="H40">
        <f t="shared" si="0"/>
        <v>78</v>
      </c>
      <c r="I40">
        <f t="shared" si="1"/>
        <v>16</v>
      </c>
    </row>
    <row r="41" spans="1:9" x14ac:dyDescent="0.3">
      <c r="A41" s="1">
        <v>46259</v>
      </c>
      <c r="B41" t="s">
        <v>10</v>
      </c>
      <c r="C41" s="2">
        <v>0.75</v>
      </c>
      <c r="D41">
        <v>49</v>
      </c>
      <c r="E41">
        <v>42</v>
      </c>
      <c r="F41">
        <v>23</v>
      </c>
      <c r="G41">
        <v>18</v>
      </c>
      <c r="H41">
        <f t="shared" si="0"/>
        <v>72</v>
      </c>
      <c r="I41">
        <f t="shared" si="1"/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03F68-17A4-475D-B017-FFFA0A58DA17}">
  <dimension ref="A1:I62"/>
  <sheetViews>
    <sheetView topLeftCell="A38" workbookViewId="0">
      <selection activeCell="E22" sqref="E22"/>
    </sheetView>
  </sheetViews>
  <sheetFormatPr defaultRowHeight="14.4" x14ac:dyDescent="0.3"/>
  <cols>
    <col min="1" max="4" width="14" customWidth="1"/>
    <col min="5" max="6" width="15" customWidth="1"/>
    <col min="7" max="7" width="17.6640625" customWidth="1"/>
    <col min="8" max="8" width="16.5546875" customWidth="1"/>
    <col min="9" max="9" width="14" style="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s="4" t="s">
        <v>61</v>
      </c>
    </row>
    <row r="2" spans="1:9" x14ac:dyDescent="0.3">
      <c r="A2" s="1">
        <v>46204</v>
      </c>
      <c r="B2" t="s">
        <v>7</v>
      </c>
      <c r="C2" s="2">
        <v>0.375</v>
      </c>
      <c r="D2" t="s">
        <v>16</v>
      </c>
      <c r="E2">
        <v>60</v>
      </c>
      <c r="F2">
        <v>34</v>
      </c>
      <c r="G2">
        <v>32</v>
      </c>
      <c r="H2">
        <v>48</v>
      </c>
      <c r="I2" s="4">
        <f>F2/E2</f>
        <v>0.56666666666666665</v>
      </c>
    </row>
    <row r="3" spans="1:9" x14ac:dyDescent="0.3">
      <c r="A3" s="1">
        <v>46204</v>
      </c>
      <c r="B3" t="s">
        <v>7</v>
      </c>
      <c r="C3" s="2">
        <v>0.41666666666666669</v>
      </c>
      <c r="D3" t="s">
        <v>16</v>
      </c>
      <c r="E3">
        <v>60</v>
      </c>
      <c r="F3">
        <v>42</v>
      </c>
      <c r="G3">
        <v>40</v>
      </c>
      <c r="H3">
        <v>56</v>
      </c>
      <c r="I3" s="4">
        <f t="shared" ref="I3:I42" si="0">F3/E3</f>
        <v>0.7</v>
      </c>
    </row>
    <row r="4" spans="1:9" x14ac:dyDescent="0.3">
      <c r="A4" s="1">
        <v>46204</v>
      </c>
      <c r="B4" t="s">
        <v>7</v>
      </c>
      <c r="C4" s="2">
        <v>0.45833333333333331</v>
      </c>
      <c r="D4" t="s">
        <v>16</v>
      </c>
      <c r="E4">
        <v>60</v>
      </c>
      <c r="F4">
        <v>51</v>
      </c>
      <c r="G4">
        <v>48</v>
      </c>
      <c r="H4">
        <v>63</v>
      </c>
      <c r="I4" s="4">
        <f t="shared" si="0"/>
        <v>0.85</v>
      </c>
    </row>
    <row r="5" spans="1:9" x14ac:dyDescent="0.3">
      <c r="A5" s="1">
        <v>46204</v>
      </c>
      <c r="B5" t="s">
        <v>7</v>
      </c>
      <c r="C5" s="2">
        <v>0.5</v>
      </c>
      <c r="D5" t="s">
        <v>16</v>
      </c>
      <c r="E5">
        <v>60</v>
      </c>
      <c r="F5">
        <v>38</v>
      </c>
      <c r="G5">
        <v>35</v>
      </c>
      <c r="H5">
        <v>51</v>
      </c>
      <c r="I5" s="4">
        <f t="shared" si="0"/>
        <v>0.6333333333333333</v>
      </c>
    </row>
    <row r="6" spans="1:9" x14ac:dyDescent="0.3">
      <c r="A6" s="1">
        <v>46204</v>
      </c>
      <c r="B6" t="s">
        <v>7</v>
      </c>
      <c r="C6" s="2">
        <v>0.54166666666666663</v>
      </c>
      <c r="D6" t="s">
        <v>16</v>
      </c>
      <c r="E6">
        <v>60</v>
      </c>
      <c r="F6">
        <v>22</v>
      </c>
      <c r="G6">
        <v>20</v>
      </c>
      <c r="H6">
        <v>37</v>
      </c>
      <c r="I6" s="4">
        <f t="shared" si="0"/>
        <v>0.36666666666666664</v>
      </c>
    </row>
    <row r="7" spans="1:9" x14ac:dyDescent="0.3">
      <c r="A7" s="1">
        <v>46204</v>
      </c>
      <c r="B7" t="s">
        <v>7</v>
      </c>
      <c r="C7" s="2">
        <v>0.58333333333333337</v>
      </c>
      <c r="D7" t="s">
        <v>16</v>
      </c>
      <c r="E7">
        <v>60</v>
      </c>
      <c r="F7">
        <v>45</v>
      </c>
      <c r="G7">
        <v>42</v>
      </c>
      <c r="H7">
        <v>59</v>
      </c>
      <c r="I7" s="4">
        <f t="shared" si="0"/>
        <v>0.75</v>
      </c>
    </row>
    <row r="8" spans="1:9" x14ac:dyDescent="0.3">
      <c r="A8" s="1">
        <v>46204</v>
      </c>
      <c r="B8" t="s">
        <v>7</v>
      </c>
      <c r="C8" s="2">
        <v>0.625</v>
      </c>
      <c r="D8" t="s">
        <v>16</v>
      </c>
      <c r="E8">
        <v>60</v>
      </c>
      <c r="F8">
        <v>53</v>
      </c>
      <c r="G8">
        <v>49</v>
      </c>
      <c r="H8">
        <v>67</v>
      </c>
      <c r="I8" s="4">
        <f t="shared" si="0"/>
        <v>0.8833333333333333</v>
      </c>
    </row>
    <row r="9" spans="1:9" x14ac:dyDescent="0.3">
      <c r="A9" s="1">
        <v>46204</v>
      </c>
      <c r="B9" t="s">
        <v>7</v>
      </c>
      <c r="C9" s="2">
        <v>0.66666666666666663</v>
      </c>
      <c r="D9" t="s">
        <v>16</v>
      </c>
      <c r="E9">
        <v>60</v>
      </c>
      <c r="F9">
        <v>57</v>
      </c>
      <c r="G9">
        <v>54</v>
      </c>
      <c r="H9">
        <v>71</v>
      </c>
      <c r="I9" s="4">
        <f t="shared" si="0"/>
        <v>0.95</v>
      </c>
    </row>
    <row r="10" spans="1:9" x14ac:dyDescent="0.3">
      <c r="A10" s="1">
        <v>46204</v>
      </c>
      <c r="B10" t="s">
        <v>7</v>
      </c>
      <c r="C10" s="2">
        <v>0.70833333333333337</v>
      </c>
      <c r="D10" t="s">
        <v>16</v>
      </c>
      <c r="E10">
        <v>60</v>
      </c>
      <c r="F10">
        <v>49</v>
      </c>
      <c r="G10">
        <v>46</v>
      </c>
      <c r="H10">
        <v>64</v>
      </c>
      <c r="I10" s="4">
        <f t="shared" si="0"/>
        <v>0.81666666666666665</v>
      </c>
    </row>
    <row r="11" spans="1:9" x14ac:dyDescent="0.3">
      <c r="A11" s="1">
        <v>46204</v>
      </c>
      <c r="B11" t="s">
        <v>7</v>
      </c>
      <c r="C11" s="2">
        <v>0.75</v>
      </c>
      <c r="D11" t="s">
        <v>16</v>
      </c>
      <c r="E11">
        <v>60</v>
      </c>
      <c r="F11">
        <v>31</v>
      </c>
      <c r="G11">
        <v>29</v>
      </c>
      <c r="H11">
        <v>52</v>
      </c>
      <c r="I11" s="4">
        <f t="shared" si="0"/>
        <v>0.51666666666666672</v>
      </c>
    </row>
    <row r="12" spans="1:9" x14ac:dyDescent="0.3">
      <c r="A12" s="1">
        <v>46204</v>
      </c>
      <c r="B12" t="s">
        <v>7</v>
      </c>
      <c r="C12" s="2">
        <v>0.375</v>
      </c>
      <c r="D12" t="s">
        <v>17</v>
      </c>
      <c r="E12">
        <v>50</v>
      </c>
      <c r="F12">
        <v>28</v>
      </c>
      <c r="G12">
        <v>26</v>
      </c>
      <c r="H12">
        <v>44</v>
      </c>
      <c r="I12" s="4">
        <f t="shared" si="0"/>
        <v>0.56000000000000005</v>
      </c>
    </row>
    <row r="13" spans="1:9" x14ac:dyDescent="0.3">
      <c r="A13" s="1">
        <v>46204</v>
      </c>
      <c r="B13" t="s">
        <v>7</v>
      </c>
      <c r="C13" s="2">
        <v>0.41666666666666669</v>
      </c>
      <c r="D13" t="s">
        <v>17</v>
      </c>
      <c r="E13">
        <v>50</v>
      </c>
      <c r="F13">
        <v>36</v>
      </c>
      <c r="G13">
        <v>34</v>
      </c>
      <c r="H13">
        <v>52</v>
      </c>
      <c r="I13" s="4">
        <f t="shared" si="0"/>
        <v>0.72</v>
      </c>
    </row>
    <row r="14" spans="1:9" x14ac:dyDescent="0.3">
      <c r="A14" s="1">
        <v>46204</v>
      </c>
      <c r="B14" t="s">
        <v>7</v>
      </c>
      <c r="C14" s="2">
        <v>0.45833333333333331</v>
      </c>
      <c r="D14" t="s">
        <v>17</v>
      </c>
      <c r="E14">
        <v>50</v>
      </c>
      <c r="F14">
        <v>44</v>
      </c>
      <c r="G14">
        <v>41</v>
      </c>
      <c r="H14">
        <v>61</v>
      </c>
      <c r="I14" s="4">
        <f t="shared" si="0"/>
        <v>0.88</v>
      </c>
    </row>
    <row r="15" spans="1:9" x14ac:dyDescent="0.3">
      <c r="A15" s="1">
        <v>46204</v>
      </c>
      <c r="B15" t="s">
        <v>7</v>
      </c>
      <c r="C15" s="2">
        <v>0.5</v>
      </c>
      <c r="D15" t="s">
        <v>17</v>
      </c>
      <c r="E15">
        <v>50</v>
      </c>
      <c r="F15">
        <v>31</v>
      </c>
      <c r="G15">
        <v>29</v>
      </c>
      <c r="H15">
        <v>47</v>
      </c>
      <c r="I15" s="4">
        <f t="shared" si="0"/>
        <v>0.62</v>
      </c>
    </row>
    <row r="16" spans="1:9" x14ac:dyDescent="0.3">
      <c r="A16" s="1">
        <v>46204</v>
      </c>
      <c r="B16" t="s">
        <v>7</v>
      </c>
      <c r="C16" s="2">
        <v>0.54166666666666663</v>
      </c>
      <c r="D16" t="s">
        <v>17</v>
      </c>
      <c r="E16">
        <v>50</v>
      </c>
      <c r="F16">
        <v>19</v>
      </c>
      <c r="G16">
        <v>18</v>
      </c>
      <c r="H16">
        <v>35</v>
      </c>
      <c r="I16" s="4">
        <f t="shared" si="0"/>
        <v>0.38</v>
      </c>
    </row>
    <row r="17" spans="1:9" x14ac:dyDescent="0.3">
      <c r="A17" s="1">
        <v>46204</v>
      </c>
      <c r="B17" t="s">
        <v>7</v>
      </c>
      <c r="C17" s="2">
        <v>0.58333333333333337</v>
      </c>
      <c r="D17" t="s">
        <v>17</v>
      </c>
      <c r="E17">
        <v>50</v>
      </c>
      <c r="F17">
        <v>37</v>
      </c>
      <c r="G17">
        <v>35</v>
      </c>
      <c r="H17">
        <v>57</v>
      </c>
      <c r="I17" s="4">
        <f t="shared" si="0"/>
        <v>0.74</v>
      </c>
    </row>
    <row r="18" spans="1:9" x14ac:dyDescent="0.3">
      <c r="A18" s="1">
        <v>46204</v>
      </c>
      <c r="B18" t="s">
        <v>7</v>
      </c>
      <c r="C18" s="2">
        <v>0.625</v>
      </c>
      <c r="D18" t="s">
        <v>17</v>
      </c>
      <c r="E18">
        <v>50</v>
      </c>
      <c r="F18">
        <v>43</v>
      </c>
      <c r="G18">
        <v>40</v>
      </c>
      <c r="H18">
        <v>64</v>
      </c>
      <c r="I18" s="4">
        <f t="shared" si="0"/>
        <v>0.86</v>
      </c>
    </row>
    <row r="19" spans="1:9" x14ac:dyDescent="0.3">
      <c r="A19" s="1">
        <v>46204</v>
      </c>
      <c r="B19" t="s">
        <v>7</v>
      </c>
      <c r="C19" s="2">
        <v>0.66666666666666663</v>
      </c>
      <c r="D19" t="s">
        <v>17</v>
      </c>
      <c r="E19">
        <v>50</v>
      </c>
      <c r="F19">
        <v>47</v>
      </c>
      <c r="G19">
        <v>44</v>
      </c>
      <c r="H19">
        <v>69</v>
      </c>
      <c r="I19" s="4">
        <f t="shared" si="0"/>
        <v>0.94</v>
      </c>
    </row>
    <row r="20" spans="1:9" x14ac:dyDescent="0.3">
      <c r="A20" s="1">
        <v>46204</v>
      </c>
      <c r="B20" t="s">
        <v>7</v>
      </c>
      <c r="C20" s="2">
        <v>0.70833333333333337</v>
      </c>
      <c r="D20" t="s">
        <v>17</v>
      </c>
      <c r="E20">
        <v>50</v>
      </c>
      <c r="F20">
        <v>41</v>
      </c>
      <c r="G20">
        <v>38</v>
      </c>
      <c r="H20">
        <v>62</v>
      </c>
      <c r="I20" s="4">
        <f t="shared" si="0"/>
        <v>0.82</v>
      </c>
    </row>
    <row r="21" spans="1:9" x14ac:dyDescent="0.3">
      <c r="A21" s="1">
        <v>46204</v>
      </c>
      <c r="B21" t="s">
        <v>7</v>
      </c>
      <c r="C21" s="2">
        <v>0.75</v>
      </c>
      <c r="D21" t="s">
        <v>17</v>
      </c>
      <c r="E21">
        <v>50</v>
      </c>
      <c r="F21">
        <v>27</v>
      </c>
      <c r="G21">
        <v>25</v>
      </c>
      <c r="H21">
        <v>48</v>
      </c>
      <c r="I21" s="4">
        <f t="shared" si="0"/>
        <v>0.54</v>
      </c>
    </row>
    <row r="22" spans="1:9" x14ac:dyDescent="0.3">
      <c r="A22" s="1">
        <v>46204</v>
      </c>
      <c r="B22" t="s">
        <v>7</v>
      </c>
      <c r="C22" s="2">
        <v>0.375</v>
      </c>
      <c r="D22" t="s">
        <v>18</v>
      </c>
      <c r="E22">
        <v>40</v>
      </c>
      <c r="F22">
        <v>21</v>
      </c>
      <c r="G22">
        <v>20</v>
      </c>
      <c r="H22">
        <v>41</v>
      </c>
      <c r="I22" s="4">
        <f t="shared" si="0"/>
        <v>0.52500000000000002</v>
      </c>
    </row>
    <row r="23" spans="1:9" x14ac:dyDescent="0.3">
      <c r="A23" s="1">
        <v>46204</v>
      </c>
      <c r="B23" t="s">
        <v>7</v>
      </c>
      <c r="C23" s="2">
        <v>0.41666666666666669</v>
      </c>
      <c r="D23" t="s">
        <v>18</v>
      </c>
      <c r="E23">
        <v>40</v>
      </c>
      <c r="F23">
        <v>29</v>
      </c>
      <c r="G23">
        <v>27</v>
      </c>
      <c r="H23">
        <v>49</v>
      </c>
      <c r="I23" s="4">
        <f t="shared" si="0"/>
        <v>0.72499999999999998</v>
      </c>
    </row>
    <row r="24" spans="1:9" x14ac:dyDescent="0.3">
      <c r="A24" s="1">
        <v>46204</v>
      </c>
      <c r="B24" t="s">
        <v>7</v>
      </c>
      <c r="C24" s="2">
        <v>0.45833333333333331</v>
      </c>
      <c r="D24" t="s">
        <v>18</v>
      </c>
      <c r="E24">
        <v>40</v>
      </c>
      <c r="F24">
        <v>35</v>
      </c>
      <c r="G24">
        <v>33</v>
      </c>
      <c r="H24">
        <v>58</v>
      </c>
      <c r="I24" s="4">
        <f t="shared" si="0"/>
        <v>0.875</v>
      </c>
    </row>
    <row r="25" spans="1:9" x14ac:dyDescent="0.3">
      <c r="A25" s="1">
        <v>46204</v>
      </c>
      <c r="B25" t="s">
        <v>7</v>
      </c>
      <c r="C25" s="2">
        <v>0.5</v>
      </c>
      <c r="D25" t="s">
        <v>18</v>
      </c>
      <c r="E25">
        <v>40</v>
      </c>
      <c r="F25">
        <v>25</v>
      </c>
      <c r="G25">
        <v>23</v>
      </c>
      <c r="H25">
        <v>45</v>
      </c>
      <c r="I25" s="4">
        <f t="shared" si="0"/>
        <v>0.625</v>
      </c>
    </row>
    <row r="26" spans="1:9" x14ac:dyDescent="0.3">
      <c r="A26" s="1">
        <v>46204</v>
      </c>
      <c r="B26" t="s">
        <v>7</v>
      </c>
      <c r="C26" s="2">
        <v>0.54166666666666663</v>
      </c>
      <c r="D26" t="s">
        <v>18</v>
      </c>
      <c r="E26">
        <v>40</v>
      </c>
      <c r="F26">
        <v>14</v>
      </c>
      <c r="G26">
        <v>13</v>
      </c>
      <c r="H26">
        <v>31</v>
      </c>
      <c r="I26" s="4">
        <f t="shared" si="0"/>
        <v>0.35</v>
      </c>
    </row>
    <row r="27" spans="1:9" x14ac:dyDescent="0.3">
      <c r="A27" s="1">
        <v>46204</v>
      </c>
      <c r="B27" t="s">
        <v>7</v>
      </c>
      <c r="C27" s="2">
        <v>0.58333333333333337</v>
      </c>
      <c r="D27" t="s">
        <v>18</v>
      </c>
      <c r="E27">
        <v>40</v>
      </c>
      <c r="F27">
        <v>30</v>
      </c>
      <c r="G27">
        <v>28</v>
      </c>
      <c r="H27">
        <v>54</v>
      </c>
      <c r="I27" s="4">
        <f t="shared" si="0"/>
        <v>0.75</v>
      </c>
    </row>
    <row r="28" spans="1:9" x14ac:dyDescent="0.3">
      <c r="A28" s="1">
        <v>46204</v>
      </c>
      <c r="B28" t="s">
        <v>7</v>
      </c>
      <c r="C28" s="2">
        <v>0.625</v>
      </c>
      <c r="D28" t="s">
        <v>18</v>
      </c>
      <c r="E28">
        <v>40</v>
      </c>
      <c r="F28">
        <v>34</v>
      </c>
      <c r="G28">
        <v>32</v>
      </c>
      <c r="H28">
        <v>61</v>
      </c>
      <c r="I28" s="4">
        <f t="shared" si="0"/>
        <v>0.85</v>
      </c>
    </row>
    <row r="29" spans="1:9" x14ac:dyDescent="0.3">
      <c r="A29" s="1">
        <v>46204</v>
      </c>
      <c r="B29" t="s">
        <v>7</v>
      </c>
      <c r="C29" s="2">
        <v>0.66666666666666663</v>
      </c>
      <c r="D29" t="s">
        <v>18</v>
      </c>
      <c r="E29">
        <v>40</v>
      </c>
      <c r="F29">
        <v>38</v>
      </c>
      <c r="G29">
        <v>35</v>
      </c>
      <c r="H29">
        <v>67</v>
      </c>
      <c r="I29" s="4">
        <f t="shared" si="0"/>
        <v>0.95</v>
      </c>
    </row>
    <row r="30" spans="1:9" x14ac:dyDescent="0.3">
      <c r="A30" s="1">
        <v>46204</v>
      </c>
      <c r="B30" t="s">
        <v>7</v>
      </c>
      <c r="C30" s="2">
        <v>0.70833333333333337</v>
      </c>
      <c r="D30" t="s">
        <v>18</v>
      </c>
      <c r="E30">
        <v>40</v>
      </c>
      <c r="F30">
        <v>32</v>
      </c>
      <c r="G30">
        <v>30</v>
      </c>
      <c r="H30">
        <v>59</v>
      </c>
      <c r="I30" s="4">
        <f t="shared" si="0"/>
        <v>0.8</v>
      </c>
    </row>
    <row r="31" spans="1:9" x14ac:dyDescent="0.3">
      <c r="A31" s="1">
        <v>46204</v>
      </c>
      <c r="B31" t="s">
        <v>7</v>
      </c>
      <c r="C31" s="2">
        <v>0.75</v>
      </c>
      <c r="D31" t="s">
        <v>18</v>
      </c>
      <c r="E31">
        <v>40</v>
      </c>
      <c r="F31">
        <v>24</v>
      </c>
      <c r="G31">
        <v>22</v>
      </c>
      <c r="H31">
        <v>46</v>
      </c>
      <c r="I31" s="4">
        <f t="shared" si="0"/>
        <v>0.6</v>
      </c>
    </row>
    <row r="32" spans="1:9" x14ac:dyDescent="0.3">
      <c r="A32" s="1">
        <v>46204</v>
      </c>
      <c r="B32" t="s">
        <v>7</v>
      </c>
      <c r="C32" s="2">
        <v>0.375</v>
      </c>
      <c r="D32" t="s">
        <v>19</v>
      </c>
      <c r="E32">
        <v>70</v>
      </c>
      <c r="F32">
        <v>39</v>
      </c>
      <c r="G32">
        <v>37</v>
      </c>
      <c r="H32">
        <v>46</v>
      </c>
      <c r="I32" s="4">
        <f t="shared" si="0"/>
        <v>0.55714285714285716</v>
      </c>
    </row>
    <row r="33" spans="1:9" x14ac:dyDescent="0.3">
      <c r="A33" s="1">
        <v>46204</v>
      </c>
      <c r="B33" t="s">
        <v>7</v>
      </c>
      <c r="C33" s="2">
        <v>0.41666666666666669</v>
      </c>
      <c r="D33" t="s">
        <v>19</v>
      </c>
      <c r="E33">
        <v>70</v>
      </c>
      <c r="F33">
        <v>52</v>
      </c>
      <c r="G33">
        <v>49</v>
      </c>
      <c r="H33">
        <v>58</v>
      </c>
      <c r="I33" s="4">
        <f t="shared" si="0"/>
        <v>0.74285714285714288</v>
      </c>
    </row>
    <row r="34" spans="1:9" x14ac:dyDescent="0.3">
      <c r="A34" s="1">
        <v>46204</v>
      </c>
      <c r="B34" t="s">
        <v>7</v>
      </c>
      <c r="C34" s="2">
        <v>0.45833333333333331</v>
      </c>
      <c r="D34" t="s">
        <v>19</v>
      </c>
      <c r="E34">
        <v>70</v>
      </c>
      <c r="F34">
        <v>61</v>
      </c>
      <c r="G34">
        <v>57</v>
      </c>
      <c r="H34">
        <v>66</v>
      </c>
      <c r="I34" s="4">
        <f t="shared" si="0"/>
        <v>0.87142857142857144</v>
      </c>
    </row>
    <row r="35" spans="1:9" x14ac:dyDescent="0.3">
      <c r="A35" s="1">
        <v>46204</v>
      </c>
      <c r="B35" t="s">
        <v>7</v>
      </c>
      <c r="C35" s="2">
        <v>0.5</v>
      </c>
      <c r="D35" t="s">
        <v>19</v>
      </c>
      <c r="E35">
        <v>70</v>
      </c>
      <c r="F35">
        <v>44</v>
      </c>
      <c r="G35">
        <v>41</v>
      </c>
      <c r="H35">
        <v>53</v>
      </c>
      <c r="I35" s="4">
        <f t="shared" si="0"/>
        <v>0.62857142857142856</v>
      </c>
    </row>
    <row r="36" spans="1:9" x14ac:dyDescent="0.3">
      <c r="A36" s="1">
        <v>46204</v>
      </c>
      <c r="B36" t="s">
        <v>7</v>
      </c>
      <c r="C36" s="2">
        <v>0.54166666666666663</v>
      </c>
      <c r="D36" t="s">
        <v>19</v>
      </c>
      <c r="E36">
        <v>70</v>
      </c>
      <c r="F36">
        <v>27</v>
      </c>
      <c r="G36">
        <v>25</v>
      </c>
      <c r="H36">
        <v>38</v>
      </c>
      <c r="I36" s="4">
        <f t="shared" si="0"/>
        <v>0.38571428571428573</v>
      </c>
    </row>
    <row r="37" spans="1:9" x14ac:dyDescent="0.3">
      <c r="A37" s="1">
        <v>46204</v>
      </c>
      <c r="B37" t="s">
        <v>7</v>
      </c>
      <c r="C37" s="2">
        <v>0.58333333333333337</v>
      </c>
      <c r="D37" t="s">
        <v>19</v>
      </c>
      <c r="E37">
        <v>70</v>
      </c>
      <c r="F37">
        <v>48</v>
      </c>
      <c r="G37">
        <v>45</v>
      </c>
      <c r="H37">
        <v>57</v>
      </c>
      <c r="I37" s="4">
        <f t="shared" si="0"/>
        <v>0.68571428571428572</v>
      </c>
    </row>
    <row r="38" spans="1:9" x14ac:dyDescent="0.3">
      <c r="A38" s="1">
        <v>46204</v>
      </c>
      <c r="B38" t="s">
        <v>7</v>
      </c>
      <c r="C38" s="2">
        <v>0.625</v>
      </c>
      <c r="D38" t="s">
        <v>19</v>
      </c>
      <c r="E38">
        <v>70</v>
      </c>
      <c r="F38">
        <v>59</v>
      </c>
      <c r="G38">
        <v>55</v>
      </c>
      <c r="H38">
        <v>65</v>
      </c>
      <c r="I38" s="4">
        <f t="shared" si="0"/>
        <v>0.84285714285714286</v>
      </c>
    </row>
    <row r="39" spans="1:9" x14ac:dyDescent="0.3">
      <c r="A39" s="1">
        <v>46204</v>
      </c>
      <c r="B39" t="s">
        <v>7</v>
      </c>
      <c r="C39" s="2">
        <v>0.66666666666666663</v>
      </c>
      <c r="D39" t="s">
        <v>19</v>
      </c>
      <c r="E39">
        <v>70</v>
      </c>
      <c r="F39">
        <v>65</v>
      </c>
      <c r="G39">
        <v>61</v>
      </c>
      <c r="H39">
        <v>72</v>
      </c>
      <c r="I39" s="4">
        <f t="shared" si="0"/>
        <v>0.9285714285714286</v>
      </c>
    </row>
    <row r="40" spans="1:9" x14ac:dyDescent="0.3">
      <c r="A40" s="1">
        <v>46204</v>
      </c>
      <c r="B40" t="s">
        <v>7</v>
      </c>
      <c r="C40" s="2">
        <v>0.70833333333333337</v>
      </c>
      <c r="D40" t="s">
        <v>19</v>
      </c>
      <c r="E40">
        <v>70</v>
      </c>
      <c r="F40">
        <v>56</v>
      </c>
      <c r="G40">
        <v>52</v>
      </c>
      <c r="H40">
        <v>64</v>
      </c>
      <c r="I40" s="4">
        <f t="shared" si="0"/>
        <v>0.8</v>
      </c>
    </row>
    <row r="41" spans="1:9" x14ac:dyDescent="0.3">
      <c r="A41" s="1">
        <v>46204</v>
      </c>
      <c r="B41" t="s">
        <v>7</v>
      </c>
      <c r="C41" s="2">
        <v>0.75</v>
      </c>
      <c r="D41" t="s">
        <v>19</v>
      </c>
      <c r="E41">
        <v>70</v>
      </c>
      <c r="F41">
        <v>38</v>
      </c>
      <c r="G41">
        <v>36</v>
      </c>
      <c r="H41">
        <v>49</v>
      </c>
      <c r="I41" s="4">
        <f t="shared" si="0"/>
        <v>0.54285714285714282</v>
      </c>
    </row>
    <row r="42" spans="1:9" x14ac:dyDescent="0.3">
      <c r="A42" s="1">
        <v>46205</v>
      </c>
      <c r="B42" t="s">
        <v>8</v>
      </c>
      <c r="C42" s="2">
        <v>0.375</v>
      </c>
      <c r="D42" t="s">
        <v>16</v>
      </c>
      <c r="E42">
        <v>60</v>
      </c>
      <c r="F42">
        <v>38</v>
      </c>
      <c r="G42">
        <v>36</v>
      </c>
      <c r="H42">
        <v>52</v>
      </c>
      <c r="I42" s="4">
        <v>0.63329999999999997</v>
      </c>
    </row>
    <row r="43" spans="1:9" x14ac:dyDescent="0.3">
      <c r="A43" s="1">
        <v>46205</v>
      </c>
      <c r="B43" t="s">
        <v>8</v>
      </c>
      <c r="C43" s="2">
        <v>0.41666666666666669</v>
      </c>
      <c r="D43" t="s">
        <v>16</v>
      </c>
      <c r="E43">
        <v>60</v>
      </c>
      <c r="F43">
        <v>46</v>
      </c>
      <c r="G43">
        <v>44</v>
      </c>
      <c r="H43">
        <v>61</v>
      </c>
      <c r="I43" s="4">
        <v>0.76670000000000005</v>
      </c>
    </row>
    <row r="44" spans="1:9" x14ac:dyDescent="0.3">
      <c r="A44" s="1">
        <v>46205</v>
      </c>
      <c r="B44" t="s">
        <v>8</v>
      </c>
      <c r="C44" s="2">
        <v>0.45833333333333331</v>
      </c>
      <c r="D44" t="s">
        <v>16</v>
      </c>
      <c r="E44">
        <v>60</v>
      </c>
      <c r="F44">
        <v>51</v>
      </c>
      <c r="G44">
        <v>48</v>
      </c>
      <c r="H44">
        <v>68</v>
      </c>
      <c r="I44" s="4">
        <v>0.85</v>
      </c>
    </row>
    <row r="45" spans="1:9" x14ac:dyDescent="0.3">
      <c r="A45" s="1">
        <v>46205</v>
      </c>
      <c r="B45" t="s">
        <v>8</v>
      </c>
      <c r="C45" s="2">
        <v>0.5</v>
      </c>
      <c r="D45" t="s">
        <v>16</v>
      </c>
      <c r="E45">
        <v>60</v>
      </c>
      <c r="F45">
        <v>44</v>
      </c>
      <c r="G45">
        <v>41</v>
      </c>
      <c r="H45">
        <v>57</v>
      </c>
      <c r="I45" s="4">
        <v>0.73329999999999995</v>
      </c>
    </row>
    <row r="46" spans="1:9" x14ac:dyDescent="0.3">
      <c r="A46" s="1">
        <v>46205</v>
      </c>
      <c r="B46" t="s">
        <v>8</v>
      </c>
      <c r="C46" s="2">
        <v>0.58333333333333337</v>
      </c>
      <c r="D46" t="s">
        <v>17</v>
      </c>
      <c r="E46">
        <v>50</v>
      </c>
      <c r="F46">
        <v>35</v>
      </c>
      <c r="G46">
        <v>33</v>
      </c>
      <c r="H46">
        <v>49</v>
      </c>
      <c r="I46" s="4">
        <v>0.7</v>
      </c>
    </row>
    <row r="47" spans="1:9" x14ac:dyDescent="0.3">
      <c r="A47" s="1">
        <v>46205</v>
      </c>
      <c r="B47" t="s">
        <v>8</v>
      </c>
      <c r="C47" s="2">
        <v>0.625</v>
      </c>
      <c r="D47" t="s">
        <v>17</v>
      </c>
      <c r="E47">
        <v>50</v>
      </c>
      <c r="F47">
        <v>41</v>
      </c>
      <c r="G47">
        <v>39</v>
      </c>
      <c r="H47">
        <v>58</v>
      </c>
      <c r="I47" s="4">
        <v>0.82</v>
      </c>
    </row>
    <row r="48" spans="1:9" x14ac:dyDescent="0.3">
      <c r="A48" s="1">
        <v>46205</v>
      </c>
      <c r="B48" t="s">
        <v>8</v>
      </c>
      <c r="C48" s="2">
        <v>0.66666666666666663</v>
      </c>
      <c r="D48" t="s">
        <v>17</v>
      </c>
      <c r="E48">
        <v>50</v>
      </c>
      <c r="F48">
        <v>45</v>
      </c>
      <c r="G48">
        <v>43</v>
      </c>
      <c r="H48">
        <v>64</v>
      </c>
      <c r="I48" s="4">
        <v>0.9</v>
      </c>
    </row>
    <row r="49" spans="1:9" x14ac:dyDescent="0.3">
      <c r="A49" s="1">
        <v>46206</v>
      </c>
      <c r="B49" t="s">
        <v>9</v>
      </c>
      <c r="C49" s="2">
        <v>0.375</v>
      </c>
      <c r="D49" t="s">
        <v>18</v>
      </c>
      <c r="E49">
        <v>40</v>
      </c>
      <c r="F49">
        <v>27</v>
      </c>
      <c r="G49">
        <v>25</v>
      </c>
      <c r="H49">
        <v>45</v>
      </c>
      <c r="I49" s="4">
        <v>0.67500000000000004</v>
      </c>
    </row>
    <row r="50" spans="1:9" x14ac:dyDescent="0.3">
      <c r="A50" s="1">
        <v>46206</v>
      </c>
      <c r="B50" t="s">
        <v>9</v>
      </c>
      <c r="C50" s="2">
        <v>0.41666666666666669</v>
      </c>
      <c r="D50" t="s">
        <v>18</v>
      </c>
      <c r="E50">
        <v>40</v>
      </c>
      <c r="F50">
        <v>32</v>
      </c>
      <c r="G50">
        <v>30</v>
      </c>
      <c r="H50">
        <v>53</v>
      </c>
      <c r="I50" s="4">
        <v>0.8</v>
      </c>
    </row>
    <row r="51" spans="1:9" x14ac:dyDescent="0.3">
      <c r="A51" s="1">
        <v>46206</v>
      </c>
      <c r="B51" t="s">
        <v>9</v>
      </c>
      <c r="C51" s="2">
        <v>0.45833333333333331</v>
      </c>
      <c r="D51" t="s">
        <v>18</v>
      </c>
      <c r="E51">
        <v>40</v>
      </c>
      <c r="F51">
        <v>36</v>
      </c>
      <c r="G51">
        <v>34</v>
      </c>
      <c r="H51">
        <v>62</v>
      </c>
      <c r="I51" s="4">
        <v>0.9</v>
      </c>
    </row>
    <row r="52" spans="1:9" x14ac:dyDescent="0.3">
      <c r="A52" s="1">
        <v>46206</v>
      </c>
      <c r="B52" t="s">
        <v>9</v>
      </c>
      <c r="C52" s="2">
        <v>0.5</v>
      </c>
      <c r="D52" t="s">
        <v>18</v>
      </c>
      <c r="E52">
        <v>40</v>
      </c>
      <c r="F52">
        <v>30</v>
      </c>
      <c r="G52">
        <v>28</v>
      </c>
      <c r="H52">
        <v>51</v>
      </c>
      <c r="I52" s="4">
        <v>0.75</v>
      </c>
    </row>
    <row r="53" spans="1:9" x14ac:dyDescent="0.3">
      <c r="A53" s="1">
        <v>46206</v>
      </c>
      <c r="B53" t="s">
        <v>9</v>
      </c>
      <c r="C53" s="2">
        <v>0.58333333333333337</v>
      </c>
      <c r="D53" t="s">
        <v>19</v>
      </c>
      <c r="E53">
        <v>70</v>
      </c>
      <c r="F53">
        <v>48</v>
      </c>
      <c r="G53">
        <v>45</v>
      </c>
      <c r="H53">
        <v>55</v>
      </c>
      <c r="I53" s="4">
        <v>0.68569999999999998</v>
      </c>
    </row>
    <row r="54" spans="1:9" x14ac:dyDescent="0.3">
      <c r="A54" s="1">
        <v>46206</v>
      </c>
      <c r="B54" t="s">
        <v>9</v>
      </c>
      <c r="C54" s="2">
        <v>0.625</v>
      </c>
      <c r="D54" t="s">
        <v>19</v>
      </c>
      <c r="E54">
        <v>70</v>
      </c>
      <c r="F54">
        <v>55</v>
      </c>
      <c r="G54">
        <v>52</v>
      </c>
      <c r="H54">
        <v>63</v>
      </c>
      <c r="I54" s="4">
        <v>0.78569999999999995</v>
      </c>
    </row>
    <row r="55" spans="1:9" x14ac:dyDescent="0.3">
      <c r="A55" s="1">
        <v>46206</v>
      </c>
      <c r="B55" t="s">
        <v>9</v>
      </c>
      <c r="C55" s="2">
        <v>0.66666666666666663</v>
      </c>
      <c r="D55" t="s">
        <v>19</v>
      </c>
      <c r="E55">
        <v>70</v>
      </c>
      <c r="F55">
        <v>61</v>
      </c>
      <c r="G55">
        <v>58</v>
      </c>
      <c r="H55">
        <v>71</v>
      </c>
      <c r="I55" s="4">
        <v>0.87139999999999995</v>
      </c>
    </row>
    <row r="56" spans="1:9" x14ac:dyDescent="0.3">
      <c r="A56" s="1">
        <v>46207</v>
      </c>
      <c r="B56" t="s">
        <v>10</v>
      </c>
      <c r="C56" s="2">
        <v>0.375</v>
      </c>
      <c r="D56" t="s">
        <v>16</v>
      </c>
      <c r="E56">
        <v>60</v>
      </c>
      <c r="F56">
        <v>29</v>
      </c>
      <c r="G56">
        <v>27</v>
      </c>
      <c r="H56">
        <v>43</v>
      </c>
      <c r="I56" s="4">
        <v>0.48330000000000001</v>
      </c>
    </row>
    <row r="57" spans="1:9" x14ac:dyDescent="0.3">
      <c r="A57" s="1">
        <v>46207</v>
      </c>
      <c r="B57" t="s">
        <v>10</v>
      </c>
      <c r="C57" s="2">
        <v>0.41666666666666669</v>
      </c>
      <c r="D57" t="s">
        <v>16</v>
      </c>
      <c r="E57">
        <v>60</v>
      </c>
      <c r="F57">
        <v>35</v>
      </c>
      <c r="G57">
        <v>33</v>
      </c>
      <c r="H57">
        <v>51</v>
      </c>
      <c r="I57" s="4">
        <v>0.58330000000000004</v>
      </c>
    </row>
    <row r="58" spans="1:9" x14ac:dyDescent="0.3">
      <c r="A58" s="1">
        <v>46207</v>
      </c>
      <c r="B58" t="s">
        <v>10</v>
      </c>
      <c r="C58" s="2">
        <v>0.45833333333333331</v>
      </c>
      <c r="D58" t="s">
        <v>16</v>
      </c>
      <c r="E58">
        <v>60</v>
      </c>
      <c r="F58">
        <v>42</v>
      </c>
      <c r="G58">
        <v>40</v>
      </c>
      <c r="H58">
        <v>59</v>
      </c>
      <c r="I58" s="4">
        <v>0.7</v>
      </c>
    </row>
    <row r="59" spans="1:9" x14ac:dyDescent="0.3">
      <c r="A59" s="1">
        <v>46207</v>
      </c>
      <c r="B59" t="s">
        <v>10</v>
      </c>
      <c r="C59" s="2">
        <v>0.5</v>
      </c>
      <c r="D59" t="s">
        <v>16</v>
      </c>
      <c r="E59">
        <v>60</v>
      </c>
      <c r="F59">
        <v>38</v>
      </c>
      <c r="G59">
        <v>36</v>
      </c>
      <c r="H59">
        <v>54</v>
      </c>
      <c r="I59" s="4">
        <v>0.63329999999999997</v>
      </c>
    </row>
    <row r="60" spans="1:9" x14ac:dyDescent="0.3">
      <c r="A60" s="1">
        <v>46207</v>
      </c>
      <c r="B60" t="s">
        <v>10</v>
      </c>
      <c r="C60" s="2">
        <v>0.58333333333333337</v>
      </c>
      <c r="D60" t="s">
        <v>17</v>
      </c>
      <c r="E60">
        <v>50</v>
      </c>
      <c r="F60">
        <v>28</v>
      </c>
      <c r="G60">
        <v>26</v>
      </c>
      <c r="H60">
        <v>46</v>
      </c>
      <c r="I60" s="4">
        <v>0.56000000000000005</v>
      </c>
    </row>
    <row r="61" spans="1:9" x14ac:dyDescent="0.3">
      <c r="A61" s="1">
        <v>46207</v>
      </c>
      <c r="B61" t="s">
        <v>10</v>
      </c>
      <c r="C61" s="2">
        <v>0.625</v>
      </c>
      <c r="D61" t="s">
        <v>17</v>
      </c>
      <c r="E61">
        <v>50</v>
      </c>
      <c r="F61">
        <v>34</v>
      </c>
      <c r="G61">
        <v>32</v>
      </c>
      <c r="H61">
        <v>52</v>
      </c>
      <c r="I61" s="4">
        <v>0.68</v>
      </c>
    </row>
    <row r="62" spans="1:9" x14ac:dyDescent="0.3">
      <c r="A62" s="1">
        <v>46207</v>
      </c>
      <c r="B62" t="s">
        <v>10</v>
      </c>
      <c r="C62" s="2">
        <v>0.66666666666666663</v>
      </c>
      <c r="D62" t="s">
        <v>17</v>
      </c>
      <c r="E62">
        <v>50</v>
      </c>
      <c r="F62">
        <v>39</v>
      </c>
      <c r="G62">
        <v>37</v>
      </c>
      <c r="H62">
        <v>60</v>
      </c>
      <c r="I62" s="4">
        <v>0.78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3FE7-B335-4D3E-8433-7F9A614168CB}">
  <dimension ref="A1:I41"/>
  <sheetViews>
    <sheetView topLeftCell="A2" workbookViewId="0">
      <selection activeCell="B7" sqref="A2:I41"/>
    </sheetView>
  </sheetViews>
  <sheetFormatPr defaultRowHeight="14.4" x14ac:dyDescent="0.3"/>
  <cols>
    <col min="1" max="3" width="13.44140625" customWidth="1"/>
    <col min="4" max="4" width="15.6640625" customWidth="1"/>
    <col min="5" max="5" width="13.44140625" customWidth="1"/>
    <col min="6" max="6" width="14.88671875" customWidth="1"/>
    <col min="7" max="8" width="13.44140625" customWidth="1"/>
    <col min="9" max="9" width="23.109375" style="3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3" t="s">
        <v>62</v>
      </c>
    </row>
    <row r="2" spans="1:9" x14ac:dyDescent="0.3">
      <c r="A2" s="1">
        <v>46204</v>
      </c>
      <c r="B2" t="s">
        <v>7</v>
      </c>
      <c r="C2" s="2">
        <v>0.375</v>
      </c>
      <c r="D2" t="s">
        <v>25</v>
      </c>
      <c r="E2" t="s">
        <v>26</v>
      </c>
      <c r="F2">
        <v>42</v>
      </c>
      <c r="G2">
        <v>35</v>
      </c>
      <c r="H2">
        <v>1680</v>
      </c>
      <c r="I2" s="3">
        <f>H2/G2</f>
        <v>48</v>
      </c>
    </row>
    <row r="3" spans="1:9" x14ac:dyDescent="0.3">
      <c r="A3" s="1">
        <v>46204</v>
      </c>
      <c r="B3" t="s">
        <v>7</v>
      </c>
      <c r="C3" s="2">
        <v>0.41666666666666669</v>
      </c>
      <c r="D3" t="s">
        <v>27</v>
      </c>
      <c r="E3" t="s">
        <v>28</v>
      </c>
      <c r="F3">
        <v>28</v>
      </c>
      <c r="G3">
        <v>24</v>
      </c>
      <c r="H3">
        <v>1120</v>
      </c>
      <c r="I3" s="3">
        <f t="shared" ref="I3:I41" si="0">H3/G3</f>
        <v>46.666666666666664</v>
      </c>
    </row>
    <row r="4" spans="1:9" x14ac:dyDescent="0.3">
      <c r="A4" s="1">
        <v>46204</v>
      </c>
      <c r="B4" t="s">
        <v>7</v>
      </c>
      <c r="C4" s="2">
        <v>0.45833333333333331</v>
      </c>
      <c r="D4" t="s">
        <v>29</v>
      </c>
      <c r="E4" t="s">
        <v>30</v>
      </c>
      <c r="F4">
        <v>56</v>
      </c>
      <c r="G4">
        <v>48</v>
      </c>
      <c r="H4">
        <v>1680</v>
      </c>
      <c r="I4" s="3">
        <f t="shared" si="0"/>
        <v>35</v>
      </c>
    </row>
    <row r="5" spans="1:9" x14ac:dyDescent="0.3">
      <c r="A5" s="1">
        <v>46204</v>
      </c>
      <c r="B5" t="s">
        <v>7</v>
      </c>
      <c r="C5" s="2">
        <v>0.5</v>
      </c>
      <c r="D5" t="s">
        <v>31</v>
      </c>
      <c r="E5" t="s">
        <v>32</v>
      </c>
      <c r="F5">
        <v>68</v>
      </c>
      <c r="G5">
        <v>61</v>
      </c>
      <c r="H5">
        <v>6800</v>
      </c>
      <c r="I5" s="3">
        <f t="shared" si="0"/>
        <v>111.47540983606558</v>
      </c>
    </row>
    <row r="6" spans="1:9" x14ac:dyDescent="0.3">
      <c r="A6" s="1">
        <v>46204</v>
      </c>
      <c r="B6" t="s">
        <v>7</v>
      </c>
      <c r="C6" s="2">
        <v>0.54166666666666663</v>
      </c>
      <c r="D6" t="s">
        <v>31</v>
      </c>
      <c r="E6" t="s">
        <v>33</v>
      </c>
      <c r="F6">
        <v>74</v>
      </c>
      <c r="G6">
        <v>69</v>
      </c>
      <c r="H6">
        <v>8880</v>
      </c>
      <c r="I6" s="3">
        <f t="shared" si="0"/>
        <v>128.69565217391303</v>
      </c>
    </row>
    <row r="7" spans="1:9" x14ac:dyDescent="0.3">
      <c r="A7" s="1">
        <v>46204</v>
      </c>
      <c r="B7" t="s">
        <v>7</v>
      </c>
      <c r="C7" s="2">
        <v>0.58333333333333337</v>
      </c>
      <c r="D7" t="s">
        <v>29</v>
      </c>
      <c r="E7" t="s">
        <v>34</v>
      </c>
      <c r="F7">
        <v>31</v>
      </c>
      <c r="G7">
        <v>28</v>
      </c>
      <c r="H7">
        <v>930</v>
      </c>
      <c r="I7" s="3">
        <f t="shared" si="0"/>
        <v>33.214285714285715</v>
      </c>
    </row>
    <row r="8" spans="1:9" x14ac:dyDescent="0.3">
      <c r="A8" s="1">
        <v>46204</v>
      </c>
      <c r="B8" t="s">
        <v>7</v>
      </c>
      <c r="C8" s="2">
        <v>0.625</v>
      </c>
      <c r="D8" t="s">
        <v>27</v>
      </c>
      <c r="E8" t="s">
        <v>35</v>
      </c>
      <c r="F8">
        <v>36</v>
      </c>
      <c r="G8">
        <v>31</v>
      </c>
      <c r="H8">
        <v>1440</v>
      </c>
      <c r="I8" s="3">
        <f t="shared" si="0"/>
        <v>46.451612903225808</v>
      </c>
    </row>
    <row r="9" spans="1:9" x14ac:dyDescent="0.3">
      <c r="A9" s="1">
        <v>46204</v>
      </c>
      <c r="B9" t="s">
        <v>7</v>
      </c>
      <c r="C9" s="2">
        <v>0.66666666666666663</v>
      </c>
      <c r="D9" t="s">
        <v>29</v>
      </c>
      <c r="E9" t="s">
        <v>36</v>
      </c>
      <c r="F9">
        <v>47</v>
      </c>
      <c r="G9">
        <v>39</v>
      </c>
      <c r="H9">
        <v>1880</v>
      </c>
      <c r="I9" s="3">
        <f t="shared" si="0"/>
        <v>48.205128205128204</v>
      </c>
    </row>
    <row r="10" spans="1:9" x14ac:dyDescent="0.3">
      <c r="A10" s="1">
        <v>46204</v>
      </c>
      <c r="B10" t="s">
        <v>7</v>
      </c>
      <c r="C10" s="2">
        <v>0.70833333333333337</v>
      </c>
      <c r="D10" t="s">
        <v>27</v>
      </c>
      <c r="E10" t="s">
        <v>28</v>
      </c>
      <c r="F10">
        <v>52</v>
      </c>
      <c r="G10">
        <v>45</v>
      </c>
      <c r="H10">
        <v>2080</v>
      </c>
      <c r="I10" s="3">
        <f t="shared" si="0"/>
        <v>46.222222222222221</v>
      </c>
    </row>
    <row r="11" spans="1:9" x14ac:dyDescent="0.3">
      <c r="A11" s="1">
        <v>46204</v>
      </c>
      <c r="B11" t="s">
        <v>7</v>
      </c>
      <c r="C11" s="2">
        <v>0.75</v>
      </c>
      <c r="D11" t="s">
        <v>27</v>
      </c>
      <c r="E11" t="s">
        <v>37</v>
      </c>
      <c r="F11">
        <v>44</v>
      </c>
      <c r="G11">
        <v>40</v>
      </c>
      <c r="H11">
        <v>2640</v>
      </c>
      <c r="I11" s="3">
        <f t="shared" si="0"/>
        <v>66</v>
      </c>
    </row>
    <row r="12" spans="1:9" x14ac:dyDescent="0.3">
      <c r="A12" s="1">
        <v>46205</v>
      </c>
      <c r="B12" t="s">
        <v>8</v>
      </c>
      <c r="C12" s="2">
        <v>0.375</v>
      </c>
      <c r="D12" t="s">
        <v>25</v>
      </c>
      <c r="E12" t="s">
        <v>38</v>
      </c>
      <c r="F12">
        <v>48</v>
      </c>
      <c r="G12">
        <v>41</v>
      </c>
      <c r="H12">
        <v>2400</v>
      </c>
      <c r="I12" s="3">
        <f t="shared" si="0"/>
        <v>58.536585365853661</v>
      </c>
    </row>
    <row r="13" spans="1:9" x14ac:dyDescent="0.3">
      <c r="A13" s="1">
        <v>46205</v>
      </c>
      <c r="B13" t="s">
        <v>8</v>
      </c>
      <c r="C13" s="2">
        <v>0.41666666666666669</v>
      </c>
      <c r="D13" t="s">
        <v>27</v>
      </c>
      <c r="E13" t="s">
        <v>39</v>
      </c>
      <c r="F13">
        <v>32</v>
      </c>
      <c r="G13">
        <v>27</v>
      </c>
      <c r="H13">
        <v>1280</v>
      </c>
      <c r="I13" s="3">
        <f t="shared" si="0"/>
        <v>47.407407407407405</v>
      </c>
    </row>
    <row r="14" spans="1:9" x14ac:dyDescent="0.3">
      <c r="A14" s="1">
        <v>46205</v>
      </c>
      <c r="B14" t="s">
        <v>8</v>
      </c>
      <c r="C14" s="2">
        <v>0.45833333333333331</v>
      </c>
      <c r="D14" t="s">
        <v>29</v>
      </c>
      <c r="E14" t="s">
        <v>30</v>
      </c>
      <c r="F14">
        <v>61</v>
      </c>
      <c r="G14">
        <v>52</v>
      </c>
      <c r="H14">
        <v>1830</v>
      </c>
      <c r="I14" s="3">
        <f t="shared" si="0"/>
        <v>35.192307692307693</v>
      </c>
    </row>
    <row r="15" spans="1:9" x14ac:dyDescent="0.3">
      <c r="A15" s="1">
        <v>46205</v>
      </c>
      <c r="B15" t="s">
        <v>8</v>
      </c>
      <c r="C15" s="2">
        <v>0.5</v>
      </c>
      <c r="D15" t="s">
        <v>31</v>
      </c>
      <c r="E15" t="s">
        <v>32</v>
      </c>
      <c r="F15">
        <v>59</v>
      </c>
      <c r="G15">
        <v>53</v>
      </c>
      <c r="H15">
        <v>5900</v>
      </c>
      <c r="I15" s="3">
        <f t="shared" si="0"/>
        <v>111.32075471698113</v>
      </c>
    </row>
    <row r="16" spans="1:9" x14ac:dyDescent="0.3">
      <c r="A16" s="1">
        <v>46205</v>
      </c>
      <c r="B16" t="s">
        <v>8</v>
      </c>
      <c r="C16" s="2">
        <v>0.54166666666666663</v>
      </c>
      <c r="D16" t="s">
        <v>31</v>
      </c>
      <c r="E16" t="s">
        <v>33</v>
      </c>
      <c r="F16">
        <v>82</v>
      </c>
      <c r="G16">
        <v>76</v>
      </c>
      <c r="H16">
        <v>9840</v>
      </c>
      <c r="I16" s="3">
        <f t="shared" si="0"/>
        <v>129.47368421052633</v>
      </c>
    </row>
    <row r="17" spans="1:9" x14ac:dyDescent="0.3">
      <c r="A17" s="1">
        <v>46205</v>
      </c>
      <c r="B17" t="s">
        <v>8</v>
      </c>
      <c r="C17" s="2">
        <v>0.58333333333333337</v>
      </c>
      <c r="D17" t="s">
        <v>29</v>
      </c>
      <c r="E17" t="s">
        <v>34</v>
      </c>
      <c r="F17">
        <v>38</v>
      </c>
      <c r="G17">
        <v>34</v>
      </c>
      <c r="H17">
        <v>1140</v>
      </c>
      <c r="I17" s="3">
        <f t="shared" si="0"/>
        <v>33.529411764705884</v>
      </c>
    </row>
    <row r="18" spans="1:9" x14ac:dyDescent="0.3">
      <c r="A18" s="1">
        <v>46205</v>
      </c>
      <c r="B18" t="s">
        <v>8</v>
      </c>
      <c r="C18" s="2">
        <v>0.625</v>
      </c>
      <c r="D18" t="s">
        <v>27</v>
      </c>
      <c r="E18" t="s">
        <v>35</v>
      </c>
      <c r="F18">
        <v>41</v>
      </c>
      <c r="G18">
        <v>35</v>
      </c>
      <c r="H18">
        <v>1640</v>
      </c>
      <c r="I18" s="3">
        <f t="shared" si="0"/>
        <v>46.857142857142854</v>
      </c>
    </row>
    <row r="19" spans="1:9" x14ac:dyDescent="0.3">
      <c r="A19" s="1">
        <v>46205</v>
      </c>
      <c r="B19" t="s">
        <v>8</v>
      </c>
      <c r="C19" s="2">
        <v>0.66666666666666663</v>
      </c>
      <c r="D19" t="s">
        <v>29</v>
      </c>
      <c r="E19" t="s">
        <v>36</v>
      </c>
      <c r="F19">
        <v>54</v>
      </c>
      <c r="G19">
        <v>46</v>
      </c>
      <c r="H19">
        <v>2160</v>
      </c>
      <c r="I19" s="3">
        <f t="shared" si="0"/>
        <v>46.956521739130437</v>
      </c>
    </row>
    <row r="20" spans="1:9" x14ac:dyDescent="0.3">
      <c r="A20" s="1">
        <v>46205</v>
      </c>
      <c r="B20" t="s">
        <v>8</v>
      </c>
      <c r="C20" s="2">
        <v>0.70833333333333337</v>
      </c>
      <c r="D20" t="s">
        <v>27</v>
      </c>
      <c r="E20" t="s">
        <v>28</v>
      </c>
      <c r="F20">
        <v>63</v>
      </c>
      <c r="G20">
        <v>54</v>
      </c>
      <c r="H20">
        <v>2520</v>
      </c>
      <c r="I20" s="3">
        <f t="shared" si="0"/>
        <v>46.666666666666664</v>
      </c>
    </row>
    <row r="21" spans="1:9" x14ac:dyDescent="0.3">
      <c r="A21" s="1">
        <v>46205</v>
      </c>
      <c r="B21" t="s">
        <v>8</v>
      </c>
      <c r="C21" s="2">
        <v>0.75</v>
      </c>
      <c r="D21" t="s">
        <v>27</v>
      </c>
      <c r="E21" t="s">
        <v>37</v>
      </c>
      <c r="F21">
        <v>49</v>
      </c>
      <c r="G21">
        <v>44</v>
      </c>
      <c r="H21">
        <v>2940</v>
      </c>
      <c r="I21" s="3">
        <f t="shared" si="0"/>
        <v>66.818181818181813</v>
      </c>
    </row>
    <row r="22" spans="1:9" x14ac:dyDescent="0.3">
      <c r="A22" s="1">
        <v>46206</v>
      </c>
      <c r="B22" t="s">
        <v>9</v>
      </c>
      <c r="C22" s="2">
        <v>0.375</v>
      </c>
      <c r="D22" t="s">
        <v>25</v>
      </c>
      <c r="E22" t="s">
        <v>26</v>
      </c>
      <c r="F22">
        <v>55</v>
      </c>
      <c r="G22">
        <v>46</v>
      </c>
      <c r="H22">
        <v>2200</v>
      </c>
      <c r="I22" s="3">
        <f t="shared" si="0"/>
        <v>47.826086956521742</v>
      </c>
    </row>
    <row r="23" spans="1:9" x14ac:dyDescent="0.3">
      <c r="A23" s="1">
        <v>46206</v>
      </c>
      <c r="B23" t="s">
        <v>9</v>
      </c>
      <c r="C23" s="2">
        <v>0.41666666666666669</v>
      </c>
      <c r="D23" t="s">
        <v>27</v>
      </c>
      <c r="E23" t="s">
        <v>28</v>
      </c>
      <c r="F23">
        <v>37</v>
      </c>
      <c r="G23">
        <v>31</v>
      </c>
      <c r="H23">
        <v>1480</v>
      </c>
      <c r="I23" s="3">
        <f t="shared" si="0"/>
        <v>47.741935483870968</v>
      </c>
    </row>
    <row r="24" spans="1:9" x14ac:dyDescent="0.3">
      <c r="A24" s="1">
        <v>46206</v>
      </c>
      <c r="B24" t="s">
        <v>9</v>
      </c>
      <c r="C24" s="2">
        <v>0.45833333333333331</v>
      </c>
      <c r="D24" t="s">
        <v>29</v>
      </c>
      <c r="E24" t="s">
        <v>30</v>
      </c>
      <c r="F24">
        <v>69</v>
      </c>
      <c r="G24">
        <v>58</v>
      </c>
      <c r="H24">
        <v>2070</v>
      </c>
      <c r="I24" s="3">
        <f t="shared" si="0"/>
        <v>35.689655172413794</v>
      </c>
    </row>
    <row r="25" spans="1:9" x14ac:dyDescent="0.3">
      <c r="A25" s="1">
        <v>46206</v>
      </c>
      <c r="B25" t="s">
        <v>9</v>
      </c>
      <c r="C25" s="2">
        <v>0.5</v>
      </c>
      <c r="D25" t="s">
        <v>31</v>
      </c>
      <c r="E25" t="s">
        <v>32</v>
      </c>
      <c r="F25">
        <v>72</v>
      </c>
      <c r="G25">
        <v>65</v>
      </c>
      <c r="H25">
        <v>7200</v>
      </c>
      <c r="I25" s="3">
        <f t="shared" si="0"/>
        <v>110.76923076923077</v>
      </c>
    </row>
    <row r="26" spans="1:9" x14ac:dyDescent="0.3">
      <c r="A26" s="1">
        <v>46206</v>
      </c>
      <c r="B26" t="s">
        <v>9</v>
      </c>
      <c r="C26" s="2">
        <v>0.54166666666666663</v>
      </c>
      <c r="D26" t="s">
        <v>31</v>
      </c>
      <c r="E26" t="s">
        <v>33</v>
      </c>
      <c r="F26">
        <v>91</v>
      </c>
      <c r="G26">
        <v>84</v>
      </c>
      <c r="H26">
        <v>10920</v>
      </c>
      <c r="I26" s="3">
        <f t="shared" si="0"/>
        <v>130</v>
      </c>
    </row>
    <row r="27" spans="1:9" x14ac:dyDescent="0.3">
      <c r="A27" s="1">
        <v>46206</v>
      </c>
      <c r="B27" t="s">
        <v>9</v>
      </c>
      <c r="C27" s="2">
        <v>0.58333333333333337</v>
      </c>
      <c r="D27" t="s">
        <v>29</v>
      </c>
      <c r="E27" t="s">
        <v>34</v>
      </c>
      <c r="F27">
        <v>43</v>
      </c>
      <c r="G27">
        <v>38</v>
      </c>
      <c r="H27">
        <v>1290</v>
      </c>
      <c r="I27" s="3">
        <f t="shared" si="0"/>
        <v>33.94736842105263</v>
      </c>
    </row>
    <row r="28" spans="1:9" x14ac:dyDescent="0.3">
      <c r="A28" s="1">
        <v>46206</v>
      </c>
      <c r="B28" t="s">
        <v>9</v>
      </c>
      <c r="C28" s="2">
        <v>0.625</v>
      </c>
      <c r="D28" t="s">
        <v>27</v>
      </c>
      <c r="E28" t="s">
        <v>35</v>
      </c>
      <c r="F28">
        <v>48</v>
      </c>
      <c r="G28">
        <v>41</v>
      </c>
      <c r="H28">
        <v>1920</v>
      </c>
      <c r="I28" s="3">
        <f t="shared" si="0"/>
        <v>46.829268292682926</v>
      </c>
    </row>
    <row r="29" spans="1:9" x14ac:dyDescent="0.3">
      <c r="A29" s="1">
        <v>46206</v>
      </c>
      <c r="B29" t="s">
        <v>9</v>
      </c>
      <c r="C29" s="2">
        <v>0.66666666666666663</v>
      </c>
      <c r="D29" t="s">
        <v>29</v>
      </c>
      <c r="E29" t="s">
        <v>36</v>
      </c>
      <c r="F29">
        <v>59</v>
      </c>
      <c r="G29">
        <v>51</v>
      </c>
      <c r="H29">
        <v>2360</v>
      </c>
      <c r="I29" s="3">
        <f t="shared" si="0"/>
        <v>46.274509803921568</v>
      </c>
    </row>
    <row r="30" spans="1:9" x14ac:dyDescent="0.3">
      <c r="A30" s="1">
        <v>46206</v>
      </c>
      <c r="B30" t="s">
        <v>9</v>
      </c>
      <c r="C30" s="2">
        <v>0.70833333333333337</v>
      </c>
      <c r="D30" t="s">
        <v>27</v>
      </c>
      <c r="E30" t="s">
        <v>28</v>
      </c>
      <c r="F30">
        <v>71</v>
      </c>
      <c r="G30">
        <v>62</v>
      </c>
      <c r="H30">
        <v>2840</v>
      </c>
      <c r="I30" s="3">
        <f t="shared" si="0"/>
        <v>45.806451612903224</v>
      </c>
    </row>
    <row r="31" spans="1:9" x14ac:dyDescent="0.3">
      <c r="A31" s="1">
        <v>46206</v>
      </c>
      <c r="B31" t="s">
        <v>9</v>
      </c>
      <c r="C31" s="2">
        <v>0.75</v>
      </c>
      <c r="D31" t="s">
        <v>27</v>
      </c>
      <c r="E31" t="s">
        <v>37</v>
      </c>
      <c r="F31">
        <v>57</v>
      </c>
      <c r="G31">
        <v>50</v>
      </c>
      <c r="H31">
        <v>3420</v>
      </c>
      <c r="I31" s="3">
        <f t="shared" si="0"/>
        <v>68.400000000000006</v>
      </c>
    </row>
    <row r="32" spans="1:9" x14ac:dyDescent="0.3">
      <c r="A32" s="1">
        <v>46207</v>
      </c>
      <c r="B32" t="s">
        <v>10</v>
      </c>
      <c r="C32" s="2">
        <v>0.375</v>
      </c>
      <c r="D32" t="s">
        <v>25</v>
      </c>
      <c r="E32" t="s">
        <v>38</v>
      </c>
      <c r="F32">
        <v>39</v>
      </c>
      <c r="G32">
        <v>33</v>
      </c>
      <c r="H32">
        <v>1950</v>
      </c>
      <c r="I32" s="3">
        <f t="shared" si="0"/>
        <v>59.090909090909093</v>
      </c>
    </row>
    <row r="33" spans="1:9" x14ac:dyDescent="0.3">
      <c r="A33" s="1">
        <v>46207</v>
      </c>
      <c r="B33" t="s">
        <v>10</v>
      </c>
      <c r="C33" s="2">
        <v>0.41666666666666669</v>
      </c>
      <c r="D33" t="s">
        <v>27</v>
      </c>
      <c r="E33" t="s">
        <v>39</v>
      </c>
      <c r="F33">
        <v>25</v>
      </c>
      <c r="G33">
        <v>22</v>
      </c>
      <c r="H33">
        <v>1000</v>
      </c>
      <c r="I33" s="3">
        <f t="shared" si="0"/>
        <v>45.454545454545453</v>
      </c>
    </row>
    <row r="34" spans="1:9" x14ac:dyDescent="0.3">
      <c r="A34" s="1">
        <v>46207</v>
      </c>
      <c r="B34" t="s">
        <v>10</v>
      </c>
      <c r="C34" s="2">
        <v>0.45833333333333331</v>
      </c>
      <c r="D34" t="s">
        <v>29</v>
      </c>
      <c r="E34" t="s">
        <v>30</v>
      </c>
      <c r="F34">
        <v>44</v>
      </c>
      <c r="G34">
        <v>38</v>
      </c>
      <c r="H34">
        <v>1320</v>
      </c>
      <c r="I34" s="3">
        <f t="shared" si="0"/>
        <v>34.736842105263158</v>
      </c>
    </row>
    <row r="35" spans="1:9" x14ac:dyDescent="0.3">
      <c r="A35" s="1">
        <v>46207</v>
      </c>
      <c r="B35" t="s">
        <v>10</v>
      </c>
      <c r="C35" s="2">
        <v>0.5</v>
      </c>
      <c r="D35" t="s">
        <v>31</v>
      </c>
      <c r="E35" t="s">
        <v>32</v>
      </c>
      <c r="F35">
        <v>51</v>
      </c>
      <c r="G35">
        <v>46</v>
      </c>
      <c r="H35">
        <v>5100</v>
      </c>
      <c r="I35" s="3">
        <f t="shared" si="0"/>
        <v>110.8695652173913</v>
      </c>
    </row>
    <row r="36" spans="1:9" x14ac:dyDescent="0.3">
      <c r="A36" s="1">
        <v>46207</v>
      </c>
      <c r="B36" t="s">
        <v>10</v>
      </c>
      <c r="C36" s="2">
        <v>0.54166666666666663</v>
      </c>
      <c r="D36" t="s">
        <v>31</v>
      </c>
      <c r="E36" t="s">
        <v>33</v>
      </c>
      <c r="F36">
        <v>63</v>
      </c>
      <c r="G36">
        <v>58</v>
      </c>
      <c r="H36">
        <v>7560</v>
      </c>
      <c r="I36" s="3">
        <f t="shared" si="0"/>
        <v>130.34482758620689</v>
      </c>
    </row>
    <row r="37" spans="1:9" x14ac:dyDescent="0.3">
      <c r="A37" s="1">
        <v>46207</v>
      </c>
      <c r="B37" t="s">
        <v>10</v>
      </c>
      <c r="C37" s="2">
        <v>0.58333333333333337</v>
      </c>
      <c r="D37" t="s">
        <v>29</v>
      </c>
      <c r="E37" t="s">
        <v>34</v>
      </c>
      <c r="F37">
        <v>29</v>
      </c>
      <c r="G37">
        <v>25</v>
      </c>
      <c r="H37">
        <v>870</v>
      </c>
      <c r="I37" s="3">
        <f t="shared" si="0"/>
        <v>34.799999999999997</v>
      </c>
    </row>
    <row r="38" spans="1:9" x14ac:dyDescent="0.3">
      <c r="A38" s="1">
        <v>46207</v>
      </c>
      <c r="B38" t="s">
        <v>10</v>
      </c>
      <c r="C38" s="2">
        <v>0.625</v>
      </c>
      <c r="D38" t="s">
        <v>27</v>
      </c>
      <c r="E38" t="s">
        <v>35</v>
      </c>
      <c r="F38">
        <v>34</v>
      </c>
      <c r="G38">
        <v>29</v>
      </c>
      <c r="H38">
        <v>1360</v>
      </c>
      <c r="I38" s="3">
        <f t="shared" si="0"/>
        <v>46.896551724137929</v>
      </c>
    </row>
    <row r="39" spans="1:9" x14ac:dyDescent="0.3">
      <c r="A39" s="1">
        <v>46207</v>
      </c>
      <c r="B39" t="s">
        <v>10</v>
      </c>
      <c r="C39" s="2">
        <v>0.66666666666666663</v>
      </c>
      <c r="D39" t="s">
        <v>29</v>
      </c>
      <c r="E39" t="s">
        <v>36</v>
      </c>
      <c r="F39">
        <v>42</v>
      </c>
      <c r="G39">
        <v>36</v>
      </c>
      <c r="H39">
        <v>1680</v>
      </c>
      <c r="I39" s="3">
        <f t="shared" si="0"/>
        <v>46.666666666666664</v>
      </c>
    </row>
    <row r="40" spans="1:9" x14ac:dyDescent="0.3">
      <c r="A40" s="1">
        <v>46207</v>
      </c>
      <c r="B40" t="s">
        <v>10</v>
      </c>
      <c r="C40" s="2">
        <v>0.70833333333333337</v>
      </c>
      <c r="D40" t="s">
        <v>27</v>
      </c>
      <c r="E40" t="s">
        <v>28</v>
      </c>
      <c r="F40">
        <v>48</v>
      </c>
      <c r="G40">
        <v>41</v>
      </c>
      <c r="H40">
        <v>1920</v>
      </c>
      <c r="I40" s="3">
        <f t="shared" si="0"/>
        <v>46.829268292682926</v>
      </c>
    </row>
    <row r="41" spans="1:9" x14ac:dyDescent="0.3">
      <c r="A41" s="1">
        <v>46207</v>
      </c>
      <c r="B41" t="s">
        <v>10</v>
      </c>
      <c r="C41" s="2">
        <v>0.75</v>
      </c>
      <c r="D41" t="s">
        <v>27</v>
      </c>
      <c r="E41" t="s">
        <v>37</v>
      </c>
      <c r="F41">
        <v>39</v>
      </c>
      <c r="G41">
        <v>35</v>
      </c>
      <c r="H41">
        <v>2340</v>
      </c>
      <c r="I41" s="3">
        <f t="shared" si="0"/>
        <v>66.857142857142861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BD72-9F38-4B7A-BE3B-F3EF613F544E}">
  <dimension ref="A1:J56"/>
  <sheetViews>
    <sheetView zoomScale="61" workbookViewId="0">
      <selection activeCell="L8" sqref="L8"/>
    </sheetView>
  </sheetViews>
  <sheetFormatPr defaultRowHeight="14.4" x14ac:dyDescent="0.3"/>
  <cols>
    <col min="1" max="5" width="13.44140625" customWidth="1"/>
    <col min="6" max="6" width="14.109375" customWidth="1"/>
    <col min="7" max="7" width="18.44140625" customWidth="1"/>
    <col min="8" max="8" width="18.6640625" customWidth="1"/>
    <col min="9" max="9" width="13.88671875" customWidth="1"/>
    <col min="10" max="10" width="22.33203125" style="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s="4" t="s">
        <v>63</v>
      </c>
    </row>
    <row r="2" spans="1:10" x14ac:dyDescent="0.3">
      <c r="A2" s="1">
        <v>46204</v>
      </c>
      <c r="B2" t="s">
        <v>7</v>
      </c>
      <c r="C2" s="2">
        <v>0.29166666666666669</v>
      </c>
      <c r="D2" t="s">
        <v>46</v>
      </c>
      <c r="E2" t="s">
        <v>47</v>
      </c>
      <c r="F2">
        <v>50</v>
      </c>
      <c r="G2">
        <v>42</v>
      </c>
      <c r="H2">
        <v>0</v>
      </c>
      <c r="I2">
        <v>8</v>
      </c>
      <c r="J2" s="4">
        <f>G2/F2</f>
        <v>0.84</v>
      </c>
    </row>
    <row r="3" spans="1:10" x14ac:dyDescent="0.3">
      <c r="A3" s="1">
        <v>46204</v>
      </c>
      <c r="B3" t="s">
        <v>7</v>
      </c>
      <c r="C3" s="2">
        <v>0.30208333333333331</v>
      </c>
      <c r="D3" t="s">
        <v>46</v>
      </c>
      <c r="E3" t="s">
        <v>48</v>
      </c>
      <c r="F3">
        <v>50</v>
      </c>
      <c r="G3">
        <v>18</v>
      </c>
      <c r="H3">
        <v>4</v>
      </c>
      <c r="I3">
        <v>10</v>
      </c>
      <c r="J3" s="4">
        <f t="shared" ref="J3:J56" si="0">G3/F3</f>
        <v>0.36</v>
      </c>
    </row>
    <row r="4" spans="1:10" x14ac:dyDescent="0.3">
      <c r="A4" s="1">
        <v>46204</v>
      </c>
      <c r="B4" t="s">
        <v>7</v>
      </c>
      <c r="C4" s="2">
        <v>0.3125</v>
      </c>
      <c r="D4" t="s">
        <v>46</v>
      </c>
      <c r="E4" t="s">
        <v>49</v>
      </c>
      <c r="F4">
        <v>50</v>
      </c>
      <c r="G4">
        <v>14</v>
      </c>
      <c r="H4">
        <v>8</v>
      </c>
      <c r="I4">
        <v>12</v>
      </c>
      <c r="J4" s="4">
        <f t="shared" si="0"/>
        <v>0.28000000000000003</v>
      </c>
    </row>
    <row r="5" spans="1:10" x14ac:dyDescent="0.3">
      <c r="A5" s="1">
        <v>46204</v>
      </c>
      <c r="B5" t="s">
        <v>7</v>
      </c>
      <c r="C5" s="2">
        <v>0.32291666666666669</v>
      </c>
      <c r="D5" t="s">
        <v>46</v>
      </c>
      <c r="E5" t="s">
        <v>50</v>
      </c>
      <c r="F5">
        <v>50</v>
      </c>
      <c r="G5">
        <v>9</v>
      </c>
      <c r="H5">
        <v>12</v>
      </c>
      <c r="I5">
        <v>15</v>
      </c>
      <c r="J5" s="4">
        <f t="shared" si="0"/>
        <v>0.18</v>
      </c>
    </row>
    <row r="6" spans="1:10" x14ac:dyDescent="0.3">
      <c r="A6" s="1">
        <v>46204</v>
      </c>
      <c r="B6" t="s">
        <v>7</v>
      </c>
      <c r="C6" s="2">
        <v>0.33333333333333331</v>
      </c>
      <c r="D6" t="s">
        <v>46</v>
      </c>
      <c r="E6" t="s">
        <v>51</v>
      </c>
      <c r="F6">
        <v>50</v>
      </c>
      <c r="G6">
        <v>2</v>
      </c>
      <c r="H6">
        <v>41</v>
      </c>
      <c r="I6">
        <v>18</v>
      </c>
      <c r="J6" s="4">
        <f t="shared" si="0"/>
        <v>0.04</v>
      </c>
    </row>
    <row r="7" spans="1:10" x14ac:dyDescent="0.3">
      <c r="A7" s="1">
        <v>46204</v>
      </c>
      <c r="B7" t="s">
        <v>7</v>
      </c>
      <c r="C7" s="2">
        <v>0.29166666666666669</v>
      </c>
      <c r="D7" t="s">
        <v>52</v>
      </c>
      <c r="E7" t="s">
        <v>47</v>
      </c>
      <c r="F7">
        <v>45</v>
      </c>
      <c r="G7">
        <v>38</v>
      </c>
      <c r="H7">
        <v>0</v>
      </c>
      <c r="I7">
        <v>7</v>
      </c>
      <c r="J7" s="4">
        <f t="shared" si="0"/>
        <v>0.84444444444444444</v>
      </c>
    </row>
    <row r="8" spans="1:10" x14ac:dyDescent="0.3">
      <c r="A8" s="1">
        <v>46204</v>
      </c>
      <c r="B8" t="s">
        <v>7</v>
      </c>
      <c r="C8" s="2">
        <v>0.30208333333333331</v>
      </c>
      <c r="D8" t="s">
        <v>52</v>
      </c>
      <c r="E8" t="s">
        <v>53</v>
      </c>
      <c r="F8">
        <v>45</v>
      </c>
      <c r="G8">
        <v>16</v>
      </c>
      <c r="H8">
        <v>3</v>
      </c>
      <c r="I8">
        <v>9</v>
      </c>
      <c r="J8" s="4">
        <f t="shared" si="0"/>
        <v>0.35555555555555557</v>
      </c>
    </row>
    <row r="9" spans="1:10" x14ac:dyDescent="0.3">
      <c r="A9" s="1">
        <v>46204</v>
      </c>
      <c r="B9" t="s">
        <v>7</v>
      </c>
      <c r="C9" s="2">
        <v>0.3125</v>
      </c>
      <c r="D9" t="s">
        <v>52</v>
      </c>
      <c r="E9" t="s">
        <v>54</v>
      </c>
      <c r="F9">
        <v>45</v>
      </c>
      <c r="G9">
        <v>11</v>
      </c>
      <c r="H9">
        <v>7</v>
      </c>
      <c r="I9">
        <v>11</v>
      </c>
      <c r="J9" s="4">
        <f t="shared" si="0"/>
        <v>0.24444444444444444</v>
      </c>
    </row>
    <row r="10" spans="1:10" x14ac:dyDescent="0.3">
      <c r="A10" s="1">
        <v>46204</v>
      </c>
      <c r="B10" t="s">
        <v>7</v>
      </c>
      <c r="C10" s="2">
        <v>0.32291666666666669</v>
      </c>
      <c r="D10" t="s">
        <v>52</v>
      </c>
      <c r="E10" t="s">
        <v>55</v>
      </c>
      <c r="F10">
        <v>45</v>
      </c>
      <c r="G10">
        <v>8</v>
      </c>
      <c r="H10">
        <v>10</v>
      </c>
      <c r="I10">
        <v>14</v>
      </c>
      <c r="J10" s="4">
        <f t="shared" si="0"/>
        <v>0.17777777777777778</v>
      </c>
    </row>
    <row r="11" spans="1:10" x14ac:dyDescent="0.3">
      <c r="A11" s="1">
        <v>46204</v>
      </c>
      <c r="B11" t="s">
        <v>7</v>
      </c>
      <c r="C11" s="2">
        <v>0.33333333333333331</v>
      </c>
      <c r="D11" t="s">
        <v>52</v>
      </c>
      <c r="E11" t="s">
        <v>51</v>
      </c>
      <c r="F11">
        <v>45</v>
      </c>
      <c r="G11">
        <v>3</v>
      </c>
      <c r="H11">
        <v>35</v>
      </c>
      <c r="I11">
        <v>17</v>
      </c>
      <c r="J11" s="4">
        <f t="shared" si="0"/>
        <v>6.6666666666666666E-2</v>
      </c>
    </row>
    <row r="12" spans="1:10" x14ac:dyDescent="0.3">
      <c r="A12" s="1">
        <v>46204</v>
      </c>
      <c r="B12" t="s">
        <v>7</v>
      </c>
      <c r="C12" s="2">
        <v>0.29166666666666669</v>
      </c>
      <c r="D12" t="s">
        <v>56</v>
      </c>
      <c r="E12" t="s">
        <v>47</v>
      </c>
      <c r="F12">
        <v>55</v>
      </c>
      <c r="G12">
        <v>47</v>
      </c>
      <c r="H12">
        <v>0</v>
      </c>
      <c r="I12">
        <v>9</v>
      </c>
      <c r="J12" s="4">
        <f t="shared" si="0"/>
        <v>0.8545454545454545</v>
      </c>
    </row>
    <row r="13" spans="1:10" x14ac:dyDescent="0.3">
      <c r="A13" s="1">
        <v>46204</v>
      </c>
      <c r="B13" t="s">
        <v>7</v>
      </c>
      <c r="C13" s="2">
        <v>0.30208333333333331</v>
      </c>
      <c r="D13" t="s">
        <v>56</v>
      </c>
      <c r="E13" t="s">
        <v>49</v>
      </c>
      <c r="F13">
        <v>55</v>
      </c>
      <c r="G13">
        <v>21</v>
      </c>
      <c r="H13">
        <v>5</v>
      </c>
      <c r="I13">
        <v>11</v>
      </c>
      <c r="J13" s="4">
        <f t="shared" si="0"/>
        <v>0.38181818181818183</v>
      </c>
    </row>
    <row r="14" spans="1:10" x14ac:dyDescent="0.3">
      <c r="A14" s="1">
        <v>46204</v>
      </c>
      <c r="B14" t="s">
        <v>7</v>
      </c>
      <c r="C14" s="2">
        <v>0.3125</v>
      </c>
      <c r="D14" t="s">
        <v>56</v>
      </c>
      <c r="E14" t="s">
        <v>57</v>
      </c>
      <c r="F14">
        <v>55</v>
      </c>
      <c r="G14">
        <v>13</v>
      </c>
      <c r="H14">
        <v>9</v>
      </c>
      <c r="I14">
        <v>13</v>
      </c>
      <c r="J14" s="4">
        <f t="shared" si="0"/>
        <v>0.23636363636363636</v>
      </c>
    </row>
    <row r="15" spans="1:10" x14ac:dyDescent="0.3">
      <c r="A15" s="1">
        <v>46204</v>
      </c>
      <c r="B15" t="s">
        <v>7</v>
      </c>
      <c r="C15" s="2">
        <v>0.32291666666666669</v>
      </c>
      <c r="D15" t="s">
        <v>56</v>
      </c>
      <c r="E15" t="s">
        <v>58</v>
      </c>
      <c r="F15">
        <v>55</v>
      </c>
      <c r="G15">
        <v>7</v>
      </c>
      <c r="H15">
        <v>15</v>
      </c>
      <c r="I15">
        <v>17</v>
      </c>
      <c r="J15" s="4">
        <f t="shared" si="0"/>
        <v>0.12727272727272726</v>
      </c>
    </row>
    <row r="16" spans="1:10" x14ac:dyDescent="0.3">
      <c r="A16" s="1">
        <v>46204</v>
      </c>
      <c r="B16" t="s">
        <v>7</v>
      </c>
      <c r="C16" s="2">
        <v>0.33333333333333331</v>
      </c>
      <c r="D16" t="s">
        <v>56</v>
      </c>
      <c r="E16" t="s">
        <v>51</v>
      </c>
      <c r="F16">
        <v>55</v>
      </c>
      <c r="G16">
        <v>2</v>
      </c>
      <c r="H16">
        <v>43</v>
      </c>
      <c r="I16">
        <v>21</v>
      </c>
      <c r="J16" s="4">
        <f t="shared" si="0"/>
        <v>3.6363636363636362E-2</v>
      </c>
    </row>
    <row r="17" spans="1:10" x14ac:dyDescent="0.3">
      <c r="A17" s="1">
        <v>46205</v>
      </c>
      <c r="B17" t="s">
        <v>8</v>
      </c>
      <c r="C17" s="2">
        <v>0.29166666666666669</v>
      </c>
      <c r="D17" t="s">
        <v>46</v>
      </c>
      <c r="E17" t="s">
        <v>47</v>
      </c>
      <c r="F17">
        <v>50</v>
      </c>
      <c r="G17">
        <v>45</v>
      </c>
      <c r="H17">
        <v>0</v>
      </c>
      <c r="I17">
        <v>8</v>
      </c>
      <c r="J17" s="4">
        <f t="shared" si="0"/>
        <v>0.9</v>
      </c>
    </row>
    <row r="18" spans="1:10" x14ac:dyDescent="0.3">
      <c r="A18" s="1">
        <v>46205</v>
      </c>
      <c r="B18" t="s">
        <v>8</v>
      </c>
      <c r="C18" s="2">
        <v>0.30208333333333331</v>
      </c>
      <c r="D18" t="s">
        <v>46</v>
      </c>
      <c r="E18" t="s">
        <v>48</v>
      </c>
      <c r="F18">
        <v>50</v>
      </c>
      <c r="G18">
        <v>20</v>
      </c>
      <c r="H18">
        <v>5</v>
      </c>
      <c r="I18">
        <v>10</v>
      </c>
      <c r="J18" s="4">
        <f t="shared" si="0"/>
        <v>0.4</v>
      </c>
    </row>
    <row r="19" spans="1:10" x14ac:dyDescent="0.3">
      <c r="A19" s="1">
        <v>46205</v>
      </c>
      <c r="B19" t="s">
        <v>8</v>
      </c>
      <c r="C19" s="2">
        <v>0.3125</v>
      </c>
      <c r="D19" t="s">
        <v>46</v>
      </c>
      <c r="E19" t="s">
        <v>49</v>
      </c>
      <c r="F19">
        <v>50</v>
      </c>
      <c r="G19">
        <v>16</v>
      </c>
      <c r="H19">
        <v>9</v>
      </c>
      <c r="I19">
        <v>12</v>
      </c>
      <c r="J19" s="4">
        <f t="shared" si="0"/>
        <v>0.32</v>
      </c>
    </row>
    <row r="20" spans="1:10" x14ac:dyDescent="0.3">
      <c r="A20" s="1">
        <v>46205</v>
      </c>
      <c r="B20" t="s">
        <v>8</v>
      </c>
      <c r="C20" s="2">
        <v>0.32291666666666669</v>
      </c>
      <c r="D20" t="s">
        <v>46</v>
      </c>
      <c r="E20" t="s">
        <v>50</v>
      </c>
      <c r="F20">
        <v>50</v>
      </c>
      <c r="G20">
        <v>10</v>
      </c>
      <c r="H20">
        <v>13</v>
      </c>
      <c r="I20">
        <v>15</v>
      </c>
      <c r="J20" s="4">
        <f t="shared" si="0"/>
        <v>0.2</v>
      </c>
    </row>
    <row r="21" spans="1:10" x14ac:dyDescent="0.3">
      <c r="A21" s="1">
        <v>46205</v>
      </c>
      <c r="B21" t="s">
        <v>8</v>
      </c>
      <c r="C21" s="2">
        <v>0.33333333333333331</v>
      </c>
      <c r="D21" t="s">
        <v>46</v>
      </c>
      <c r="E21" t="s">
        <v>51</v>
      </c>
      <c r="F21">
        <v>50</v>
      </c>
      <c r="G21">
        <v>2</v>
      </c>
      <c r="H21">
        <v>44</v>
      </c>
      <c r="I21">
        <v>18</v>
      </c>
      <c r="J21" s="4">
        <f t="shared" si="0"/>
        <v>0.04</v>
      </c>
    </row>
    <row r="22" spans="1:10" x14ac:dyDescent="0.3">
      <c r="A22" s="1">
        <v>46205</v>
      </c>
      <c r="B22" t="s">
        <v>8</v>
      </c>
      <c r="C22" s="2">
        <v>0.29166666666666669</v>
      </c>
      <c r="D22" t="s">
        <v>52</v>
      </c>
      <c r="E22" t="s">
        <v>47</v>
      </c>
      <c r="F22">
        <v>45</v>
      </c>
      <c r="G22">
        <v>41</v>
      </c>
      <c r="H22">
        <v>0</v>
      </c>
      <c r="I22">
        <v>7</v>
      </c>
      <c r="J22" s="4">
        <f t="shared" si="0"/>
        <v>0.91111111111111109</v>
      </c>
    </row>
    <row r="23" spans="1:10" x14ac:dyDescent="0.3">
      <c r="A23" s="1">
        <v>46205</v>
      </c>
      <c r="B23" t="s">
        <v>8</v>
      </c>
      <c r="C23" s="2">
        <v>0.30208333333333331</v>
      </c>
      <c r="D23" t="s">
        <v>52</v>
      </c>
      <c r="E23" t="s">
        <v>53</v>
      </c>
      <c r="F23">
        <v>45</v>
      </c>
      <c r="G23">
        <v>18</v>
      </c>
      <c r="H23">
        <v>4</v>
      </c>
      <c r="I23">
        <v>9</v>
      </c>
      <c r="J23" s="4">
        <f t="shared" si="0"/>
        <v>0.4</v>
      </c>
    </row>
    <row r="24" spans="1:10" x14ac:dyDescent="0.3">
      <c r="A24" s="1">
        <v>46205</v>
      </c>
      <c r="B24" t="s">
        <v>8</v>
      </c>
      <c r="C24" s="2">
        <v>0.3125</v>
      </c>
      <c r="D24" t="s">
        <v>52</v>
      </c>
      <c r="E24" t="s">
        <v>54</v>
      </c>
      <c r="F24">
        <v>45</v>
      </c>
      <c r="G24">
        <v>12</v>
      </c>
      <c r="H24">
        <v>8</v>
      </c>
      <c r="I24">
        <v>11</v>
      </c>
      <c r="J24" s="4">
        <f t="shared" si="0"/>
        <v>0.26666666666666666</v>
      </c>
    </row>
    <row r="25" spans="1:10" x14ac:dyDescent="0.3">
      <c r="A25" s="1">
        <v>46205</v>
      </c>
      <c r="B25" t="s">
        <v>8</v>
      </c>
      <c r="C25" s="2">
        <v>0.32291666666666669</v>
      </c>
      <c r="D25" t="s">
        <v>52</v>
      </c>
      <c r="E25" t="s">
        <v>55</v>
      </c>
      <c r="F25">
        <v>45</v>
      </c>
      <c r="G25">
        <v>9</v>
      </c>
      <c r="H25">
        <v>11</v>
      </c>
      <c r="I25">
        <v>14</v>
      </c>
      <c r="J25" s="4">
        <f t="shared" si="0"/>
        <v>0.2</v>
      </c>
    </row>
    <row r="26" spans="1:10" x14ac:dyDescent="0.3">
      <c r="A26" s="1">
        <v>46205</v>
      </c>
      <c r="B26" t="s">
        <v>8</v>
      </c>
      <c r="C26" s="2">
        <v>0.33333333333333331</v>
      </c>
      <c r="D26" t="s">
        <v>52</v>
      </c>
      <c r="E26" t="s">
        <v>51</v>
      </c>
      <c r="F26">
        <v>45</v>
      </c>
      <c r="G26">
        <v>3</v>
      </c>
      <c r="H26">
        <v>38</v>
      </c>
      <c r="I26">
        <v>17</v>
      </c>
      <c r="J26" s="4">
        <f t="shared" si="0"/>
        <v>6.6666666666666666E-2</v>
      </c>
    </row>
    <row r="27" spans="1:10" x14ac:dyDescent="0.3">
      <c r="A27" s="1">
        <v>46205</v>
      </c>
      <c r="B27" t="s">
        <v>8</v>
      </c>
      <c r="C27" s="2">
        <v>0.29166666666666669</v>
      </c>
      <c r="D27" t="s">
        <v>56</v>
      </c>
      <c r="E27" t="s">
        <v>47</v>
      </c>
      <c r="F27">
        <v>55</v>
      </c>
      <c r="G27">
        <v>51</v>
      </c>
      <c r="H27">
        <v>0</v>
      </c>
      <c r="I27">
        <v>9</v>
      </c>
      <c r="J27" s="4">
        <f t="shared" si="0"/>
        <v>0.92727272727272725</v>
      </c>
    </row>
    <row r="28" spans="1:10" x14ac:dyDescent="0.3">
      <c r="A28" s="1">
        <v>46205</v>
      </c>
      <c r="B28" t="s">
        <v>8</v>
      </c>
      <c r="C28" s="2">
        <v>0.30208333333333331</v>
      </c>
      <c r="D28" t="s">
        <v>56</v>
      </c>
      <c r="E28" t="s">
        <v>49</v>
      </c>
      <c r="F28">
        <v>55</v>
      </c>
      <c r="G28">
        <v>23</v>
      </c>
      <c r="H28">
        <v>6</v>
      </c>
      <c r="I28">
        <v>11</v>
      </c>
      <c r="J28" s="4">
        <f t="shared" si="0"/>
        <v>0.41818181818181815</v>
      </c>
    </row>
    <row r="29" spans="1:10" x14ac:dyDescent="0.3">
      <c r="A29" s="1">
        <v>46205</v>
      </c>
      <c r="B29" t="s">
        <v>8</v>
      </c>
      <c r="C29" s="2">
        <v>0.3125</v>
      </c>
      <c r="D29" t="s">
        <v>56</v>
      </c>
      <c r="E29" t="s">
        <v>57</v>
      </c>
      <c r="F29">
        <v>55</v>
      </c>
      <c r="G29">
        <v>15</v>
      </c>
      <c r="H29">
        <v>10</v>
      </c>
      <c r="I29">
        <v>13</v>
      </c>
      <c r="J29" s="4">
        <f t="shared" si="0"/>
        <v>0.27272727272727271</v>
      </c>
    </row>
    <row r="30" spans="1:10" x14ac:dyDescent="0.3">
      <c r="A30" s="1">
        <v>46205</v>
      </c>
      <c r="B30" t="s">
        <v>8</v>
      </c>
      <c r="C30" s="2">
        <v>0.32291666666666669</v>
      </c>
      <c r="D30" t="s">
        <v>56</v>
      </c>
      <c r="E30" t="s">
        <v>58</v>
      </c>
      <c r="F30">
        <v>55</v>
      </c>
      <c r="G30">
        <v>8</v>
      </c>
      <c r="H30">
        <v>16</v>
      </c>
      <c r="I30">
        <v>17</v>
      </c>
      <c r="J30" s="4">
        <f t="shared" si="0"/>
        <v>0.14545454545454545</v>
      </c>
    </row>
    <row r="31" spans="1:10" x14ac:dyDescent="0.3">
      <c r="A31" s="1">
        <v>46205</v>
      </c>
      <c r="B31" t="s">
        <v>8</v>
      </c>
      <c r="C31" s="2">
        <v>0.33333333333333331</v>
      </c>
      <c r="D31" t="s">
        <v>56</v>
      </c>
      <c r="E31" t="s">
        <v>51</v>
      </c>
      <c r="F31">
        <v>55</v>
      </c>
      <c r="G31">
        <v>2</v>
      </c>
      <c r="H31">
        <v>47</v>
      </c>
      <c r="I31">
        <v>21</v>
      </c>
      <c r="J31" s="4">
        <f t="shared" si="0"/>
        <v>3.6363636363636362E-2</v>
      </c>
    </row>
    <row r="32" spans="1:10" x14ac:dyDescent="0.3">
      <c r="A32" s="1">
        <v>46206</v>
      </c>
      <c r="B32" t="s">
        <v>9</v>
      </c>
      <c r="C32" s="2">
        <v>0.29166666666666669</v>
      </c>
      <c r="D32" t="s">
        <v>46</v>
      </c>
      <c r="E32" t="s">
        <v>47</v>
      </c>
      <c r="F32">
        <v>50</v>
      </c>
      <c r="G32">
        <v>48</v>
      </c>
      <c r="H32">
        <v>0</v>
      </c>
      <c r="I32">
        <v>8</v>
      </c>
      <c r="J32" s="4">
        <f t="shared" si="0"/>
        <v>0.96</v>
      </c>
    </row>
    <row r="33" spans="1:10" x14ac:dyDescent="0.3">
      <c r="A33" s="1">
        <v>46206</v>
      </c>
      <c r="B33" t="s">
        <v>9</v>
      </c>
      <c r="C33" s="2">
        <v>0.30208333333333331</v>
      </c>
      <c r="D33" t="s">
        <v>46</v>
      </c>
      <c r="E33" t="s">
        <v>48</v>
      </c>
      <c r="F33">
        <v>50</v>
      </c>
      <c r="G33">
        <v>22</v>
      </c>
      <c r="H33">
        <v>5</v>
      </c>
      <c r="I33">
        <v>10</v>
      </c>
      <c r="J33" s="4">
        <f t="shared" si="0"/>
        <v>0.44</v>
      </c>
    </row>
    <row r="34" spans="1:10" x14ac:dyDescent="0.3">
      <c r="A34" s="1">
        <v>46206</v>
      </c>
      <c r="B34" t="s">
        <v>9</v>
      </c>
      <c r="C34" s="2">
        <v>0.3125</v>
      </c>
      <c r="D34" t="s">
        <v>46</v>
      </c>
      <c r="E34" t="s">
        <v>49</v>
      </c>
      <c r="F34">
        <v>50</v>
      </c>
      <c r="G34">
        <v>17</v>
      </c>
      <c r="H34">
        <v>10</v>
      </c>
      <c r="I34">
        <v>12</v>
      </c>
      <c r="J34" s="4">
        <f t="shared" si="0"/>
        <v>0.34</v>
      </c>
    </row>
    <row r="35" spans="1:10" x14ac:dyDescent="0.3">
      <c r="A35" s="1">
        <v>46206</v>
      </c>
      <c r="B35" t="s">
        <v>9</v>
      </c>
      <c r="C35" s="2">
        <v>0.32291666666666669</v>
      </c>
      <c r="D35" t="s">
        <v>46</v>
      </c>
      <c r="E35" t="s">
        <v>50</v>
      </c>
      <c r="F35">
        <v>50</v>
      </c>
      <c r="G35">
        <v>11</v>
      </c>
      <c r="H35">
        <v>14</v>
      </c>
      <c r="I35">
        <v>15</v>
      </c>
      <c r="J35" s="4">
        <f t="shared" si="0"/>
        <v>0.22</v>
      </c>
    </row>
    <row r="36" spans="1:10" x14ac:dyDescent="0.3">
      <c r="A36" s="1">
        <v>46206</v>
      </c>
      <c r="B36" t="s">
        <v>9</v>
      </c>
      <c r="C36" s="2">
        <v>0.33333333333333331</v>
      </c>
      <c r="D36" t="s">
        <v>46</v>
      </c>
      <c r="E36" t="s">
        <v>51</v>
      </c>
      <c r="F36">
        <v>50</v>
      </c>
      <c r="G36">
        <v>2</v>
      </c>
      <c r="H36">
        <v>46</v>
      </c>
      <c r="I36">
        <v>18</v>
      </c>
      <c r="J36" s="4">
        <f t="shared" si="0"/>
        <v>0.04</v>
      </c>
    </row>
    <row r="37" spans="1:10" x14ac:dyDescent="0.3">
      <c r="A37" s="1">
        <v>46206</v>
      </c>
      <c r="B37" t="s">
        <v>9</v>
      </c>
      <c r="C37" s="2">
        <v>0.29166666666666669</v>
      </c>
      <c r="D37" t="s">
        <v>52</v>
      </c>
      <c r="E37" t="s">
        <v>47</v>
      </c>
      <c r="F37">
        <v>45</v>
      </c>
      <c r="G37">
        <v>43</v>
      </c>
      <c r="H37">
        <v>0</v>
      </c>
      <c r="I37">
        <v>7</v>
      </c>
      <c r="J37" s="4">
        <f t="shared" si="0"/>
        <v>0.9555555555555556</v>
      </c>
    </row>
    <row r="38" spans="1:10" x14ac:dyDescent="0.3">
      <c r="A38" s="1">
        <v>46206</v>
      </c>
      <c r="B38" t="s">
        <v>9</v>
      </c>
      <c r="C38" s="2">
        <v>0.30208333333333331</v>
      </c>
      <c r="D38" t="s">
        <v>52</v>
      </c>
      <c r="E38" t="s">
        <v>53</v>
      </c>
      <c r="F38">
        <v>45</v>
      </c>
      <c r="G38">
        <v>19</v>
      </c>
      <c r="H38">
        <v>4</v>
      </c>
      <c r="I38">
        <v>9</v>
      </c>
      <c r="J38" s="4">
        <f t="shared" si="0"/>
        <v>0.42222222222222222</v>
      </c>
    </row>
    <row r="39" spans="1:10" x14ac:dyDescent="0.3">
      <c r="A39" s="1">
        <v>46206</v>
      </c>
      <c r="B39" t="s">
        <v>9</v>
      </c>
      <c r="C39" s="2">
        <v>0.3125</v>
      </c>
      <c r="D39" t="s">
        <v>52</v>
      </c>
      <c r="E39" t="s">
        <v>54</v>
      </c>
      <c r="F39">
        <v>45</v>
      </c>
      <c r="G39">
        <v>13</v>
      </c>
      <c r="H39">
        <v>8</v>
      </c>
      <c r="I39">
        <v>11</v>
      </c>
      <c r="J39" s="4">
        <f t="shared" si="0"/>
        <v>0.28888888888888886</v>
      </c>
    </row>
    <row r="40" spans="1:10" x14ac:dyDescent="0.3">
      <c r="A40" s="1">
        <v>46206</v>
      </c>
      <c r="B40" t="s">
        <v>9</v>
      </c>
      <c r="C40" s="2">
        <v>0.32291666666666669</v>
      </c>
      <c r="D40" t="s">
        <v>52</v>
      </c>
      <c r="E40" t="s">
        <v>55</v>
      </c>
      <c r="F40">
        <v>45</v>
      </c>
      <c r="G40">
        <v>9</v>
      </c>
      <c r="H40">
        <v>12</v>
      </c>
      <c r="I40">
        <v>14</v>
      </c>
      <c r="J40" s="4">
        <f t="shared" si="0"/>
        <v>0.2</v>
      </c>
    </row>
    <row r="41" spans="1:10" x14ac:dyDescent="0.3">
      <c r="A41" s="1">
        <v>46206</v>
      </c>
      <c r="B41" t="s">
        <v>9</v>
      </c>
      <c r="C41" s="2">
        <v>0.33333333333333331</v>
      </c>
      <c r="D41" t="s">
        <v>52</v>
      </c>
      <c r="E41" t="s">
        <v>51</v>
      </c>
      <c r="F41">
        <v>45</v>
      </c>
      <c r="G41">
        <v>3</v>
      </c>
      <c r="H41">
        <v>40</v>
      </c>
      <c r="I41">
        <v>17</v>
      </c>
      <c r="J41" s="4">
        <f t="shared" si="0"/>
        <v>6.6666666666666666E-2</v>
      </c>
    </row>
    <row r="42" spans="1:10" x14ac:dyDescent="0.3">
      <c r="A42" s="1">
        <v>46206</v>
      </c>
      <c r="B42" t="s">
        <v>9</v>
      </c>
      <c r="C42" s="2">
        <v>0.29166666666666669</v>
      </c>
      <c r="D42" t="s">
        <v>56</v>
      </c>
      <c r="E42" t="s">
        <v>47</v>
      </c>
      <c r="F42">
        <v>55</v>
      </c>
      <c r="G42">
        <v>53</v>
      </c>
      <c r="H42">
        <v>0</v>
      </c>
      <c r="I42">
        <v>9</v>
      </c>
      <c r="J42" s="4">
        <f t="shared" si="0"/>
        <v>0.96363636363636362</v>
      </c>
    </row>
    <row r="43" spans="1:10" x14ac:dyDescent="0.3">
      <c r="A43" s="1">
        <v>46206</v>
      </c>
      <c r="B43" t="s">
        <v>9</v>
      </c>
      <c r="C43" s="2">
        <v>0.30208333333333331</v>
      </c>
      <c r="D43" t="s">
        <v>56</v>
      </c>
      <c r="E43" t="s">
        <v>49</v>
      </c>
      <c r="F43">
        <v>55</v>
      </c>
      <c r="G43">
        <v>24</v>
      </c>
      <c r="H43">
        <v>6</v>
      </c>
      <c r="I43">
        <v>11</v>
      </c>
      <c r="J43" s="4">
        <f t="shared" si="0"/>
        <v>0.43636363636363634</v>
      </c>
    </row>
    <row r="44" spans="1:10" x14ac:dyDescent="0.3">
      <c r="A44" s="1">
        <v>46206</v>
      </c>
      <c r="B44" t="s">
        <v>9</v>
      </c>
      <c r="C44" s="2">
        <v>0.3125</v>
      </c>
      <c r="D44" t="s">
        <v>56</v>
      </c>
      <c r="E44" t="s">
        <v>57</v>
      </c>
      <c r="F44">
        <v>55</v>
      </c>
      <c r="G44">
        <v>16</v>
      </c>
      <c r="H44">
        <v>11</v>
      </c>
      <c r="I44">
        <v>13</v>
      </c>
      <c r="J44" s="4">
        <f t="shared" si="0"/>
        <v>0.29090909090909089</v>
      </c>
    </row>
    <row r="45" spans="1:10" x14ac:dyDescent="0.3">
      <c r="A45" s="1">
        <v>46206</v>
      </c>
      <c r="B45" t="s">
        <v>9</v>
      </c>
      <c r="C45" s="2">
        <v>0.32291666666666669</v>
      </c>
      <c r="D45" t="s">
        <v>56</v>
      </c>
      <c r="E45" t="s">
        <v>58</v>
      </c>
      <c r="F45">
        <v>55</v>
      </c>
      <c r="G45">
        <v>9</v>
      </c>
      <c r="H45">
        <v>17</v>
      </c>
      <c r="I45">
        <v>17</v>
      </c>
      <c r="J45" s="4">
        <f t="shared" si="0"/>
        <v>0.16363636363636364</v>
      </c>
    </row>
    <row r="46" spans="1:10" x14ac:dyDescent="0.3">
      <c r="A46" s="1">
        <v>46206</v>
      </c>
      <c r="B46" t="s">
        <v>9</v>
      </c>
      <c r="C46" s="2">
        <v>0.33333333333333331</v>
      </c>
      <c r="D46" t="s">
        <v>56</v>
      </c>
      <c r="E46" t="s">
        <v>51</v>
      </c>
      <c r="F46">
        <v>55</v>
      </c>
      <c r="G46">
        <v>2</v>
      </c>
      <c r="H46">
        <v>49</v>
      </c>
      <c r="I46">
        <v>21</v>
      </c>
      <c r="J46" s="4">
        <f t="shared" si="0"/>
        <v>3.6363636363636362E-2</v>
      </c>
    </row>
    <row r="47" spans="1:10" x14ac:dyDescent="0.3">
      <c r="A47" s="1">
        <v>46207</v>
      </c>
      <c r="B47" t="s">
        <v>10</v>
      </c>
      <c r="C47" s="2">
        <v>0.29166666666666669</v>
      </c>
      <c r="D47" t="s">
        <v>46</v>
      </c>
      <c r="E47" t="s">
        <v>47</v>
      </c>
      <c r="F47">
        <v>50</v>
      </c>
      <c r="G47">
        <v>35</v>
      </c>
      <c r="H47">
        <v>0</v>
      </c>
      <c r="I47">
        <v>8</v>
      </c>
      <c r="J47" s="4">
        <f t="shared" si="0"/>
        <v>0.7</v>
      </c>
    </row>
    <row r="48" spans="1:10" x14ac:dyDescent="0.3">
      <c r="A48" s="1">
        <v>46207</v>
      </c>
      <c r="B48" t="s">
        <v>10</v>
      </c>
      <c r="C48" s="2">
        <v>0.30208333333333331</v>
      </c>
      <c r="D48" t="s">
        <v>46</v>
      </c>
      <c r="E48" t="s">
        <v>48</v>
      </c>
      <c r="F48">
        <v>50</v>
      </c>
      <c r="G48">
        <v>14</v>
      </c>
      <c r="H48">
        <v>3</v>
      </c>
      <c r="I48">
        <v>10</v>
      </c>
      <c r="J48" s="4">
        <f t="shared" si="0"/>
        <v>0.28000000000000003</v>
      </c>
    </row>
    <row r="49" spans="1:10" x14ac:dyDescent="0.3">
      <c r="A49" s="1">
        <v>46207</v>
      </c>
      <c r="B49" t="s">
        <v>10</v>
      </c>
      <c r="C49" s="2">
        <v>0.3125</v>
      </c>
      <c r="D49" t="s">
        <v>46</v>
      </c>
      <c r="E49" t="s">
        <v>49</v>
      </c>
      <c r="F49">
        <v>50</v>
      </c>
      <c r="G49">
        <v>10</v>
      </c>
      <c r="H49">
        <v>6</v>
      </c>
      <c r="I49">
        <v>12</v>
      </c>
      <c r="J49" s="4">
        <f t="shared" si="0"/>
        <v>0.2</v>
      </c>
    </row>
    <row r="50" spans="1:10" x14ac:dyDescent="0.3">
      <c r="A50" s="1">
        <v>46207</v>
      </c>
      <c r="B50" t="s">
        <v>10</v>
      </c>
      <c r="C50" s="2">
        <v>0.32291666666666669</v>
      </c>
      <c r="D50" t="s">
        <v>46</v>
      </c>
      <c r="E50" t="s">
        <v>50</v>
      </c>
      <c r="F50">
        <v>50</v>
      </c>
      <c r="G50">
        <v>7</v>
      </c>
      <c r="H50">
        <v>9</v>
      </c>
      <c r="I50">
        <v>15</v>
      </c>
      <c r="J50" s="4">
        <f t="shared" si="0"/>
        <v>0.14000000000000001</v>
      </c>
    </row>
    <row r="51" spans="1:10" x14ac:dyDescent="0.3">
      <c r="A51" s="1">
        <v>46207</v>
      </c>
      <c r="B51" t="s">
        <v>10</v>
      </c>
      <c r="C51" s="2">
        <v>0.33333333333333331</v>
      </c>
      <c r="D51" t="s">
        <v>46</v>
      </c>
      <c r="E51" t="s">
        <v>51</v>
      </c>
      <c r="F51">
        <v>50</v>
      </c>
      <c r="G51">
        <v>2</v>
      </c>
      <c r="H51">
        <v>32</v>
      </c>
      <c r="I51">
        <v>18</v>
      </c>
      <c r="J51" s="4">
        <f t="shared" si="0"/>
        <v>0.04</v>
      </c>
    </row>
    <row r="52" spans="1:10" x14ac:dyDescent="0.3">
      <c r="A52" s="1">
        <v>46207</v>
      </c>
      <c r="B52" t="s">
        <v>10</v>
      </c>
      <c r="C52" s="2">
        <v>0.29166666666666669</v>
      </c>
      <c r="D52" t="s">
        <v>52</v>
      </c>
      <c r="E52" t="s">
        <v>47</v>
      </c>
      <c r="F52">
        <v>45</v>
      </c>
      <c r="G52">
        <v>32</v>
      </c>
      <c r="H52">
        <v>0</v>
      </c>
      <c r="I52">
        <v>7</v>
      </c>
      <c r="J52" s="4">
        <f t="shared" si="0"/>
        <v>0.71111111111111114</v>
      </c>
    </row>
    <row r="53" spans="1:10" x14ac:dyDescent="0.3">
      <c r="A53" s="1">
        <v>46207</v>
      </c>
      <c r="B53" t="s">
        <v>10</v>
      </c>
      <c r="C53" s="2">
        <v>0.30208333333333331</v>
      </c>
      <c r="D53" t="s">
        <v>52</v>
      </c>
      <c r="E53" t="s">
        <v>53</v>
      </c>
      <c r="F53">
        <v>45</v>
      </c>
      <c r="G53">
        <v>13</v>
      </c>
      <c r="H53">
        <v>3</v>
      </c>
      <c r="I53">
        <v>9</v>
      </c>
      <c r="J53" s="4">
        <f t="shared" si="0"/>
        <v>0.28888888888888886</v>
      </c>
    </row>
    <row r="54" spans="1:10" x14ac:dyDescent="0.3">
      <c r="A54" s="1">
        <v>46207</v>
      </c>
      <c r="B54" t="s">
        <v>10</v>
      </c>
      <c r="C54" s="2">
        <v>0.3125</v>
      </c>
      <c r="D54" t="s">
        <v>52</v>
      </c>
      <c r="E54" t="s">
        <v>54</v>
      </c>
      <c r="F54">
        <v>45</v>
      </c>
      <c r="G54">
        <v>9</v>
      </c>
      <c r="H54">
        <v>6</v>
      </c>
      <c r="I54">
        <v>11</v>
      </c>
      <c r="J54" s="4">
        <f t="shared" si="0"/>
        <v>0.2</v>
      </c>
    </row>
    <row r="55" spans="1:10" x14ac:dyDescent="0.3">
      <c r="A55" s="1">
        <v>46207</v>
      </c>
      <c r="B55" t="s">
        <v>10</v>
      </c>
      <c r="C55" s="2">
        <v>0.32291666666666669</v>
      </c>
      <c r="D55" t="s">
        <v>52</v>
      </c>
      <c r="E55" t="s">
        <v>55</v>
      </c>
      <c r="F55">
        <v>45</v>
      </c>
      <c r="G55">
        <v>6</v>
      </c>
      <c r="H55">
        <v>8</v>
      </c>
      <c r="I55">
        <v>14</v>
      </c>
      <c r="J55" s="4">
        <f t="shared" si="0"/>
        <v>0.13333333333333333</v>
      </c>
    </row>
    <row r="56" spans="1:10" x14ac:dyDescent="0.3">
      <c r="A56" s="1">
        <v>46207</v>
      </c>
      <c r="B56" t="s">
        <v>10</v>
      </c>
      <c r="C56" s="2">
        <v>0.33333333333333331</v>
      </c>
      <c r="D56" t="s">
        <v>52</v>
      </c>
      <c r="E56" t="s">
        <v>51</v>
      </c>
      <c r="F56">
        <v>45</v>
      </c>
      <c r="G56">
        <v>2</v>
      </c>
      <c r="H56">
        <v>29</v>
      </c>
      <c r="I56">
        <v>17</v>
      </c>
      <c r="J56" s="4">
        <f t="shared" si="0"/>
        <v>4.4444444444444446E-2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Dande</dc:creator>
  <cp:lastModifiedBy>Pravalika Dande</cp:lastModifiedBy>
  <dcterms:created xsi:type="dcterms:W3CDTF">2026-09-28T12:28:23Z</dcterms:created>
  <dcterms:modified xsi:type="dcterms:W3CDTF">2026-09-28T14:03:12Z</dcterms:modified>
</cp:coreProperties>
</file>